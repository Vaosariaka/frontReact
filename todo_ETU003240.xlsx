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groupe" sheetId="1" state="visible" r:id="rId3"/>
    <sheet name="liste des taches" sheetId="2" state="visible" r:id="rId4"/>
    <sheet name="Recap" sheetId="3" state="visible" r:id="rId5"/>
    <sheet name="avancement" sheetId="4" state="visible" r:id="rId6"/>
    <sheet name="detail_avancement" sheetId="5" state="visible" r:id="rId7"/>
  </sheet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<sst xmlns="http://schemas.openxmlformats.org/spreadsheetml/2006/main" count="336" uniqueCount="103">
  <si>
    <t xml:space="preserve">ETU003240</t>
  </si>
  <si>
    <t xml:space="preserve">A</t>
  </si>
  <si>
    <t xml:space="preserve">Ligne</t>
  </si>
  <si>
    <t xml:space="preserve">Catégorie</t>
  </si>
  <si>
    <t xml:space="preserve">Module</t>
  </si>
  <si>
    <t xml:space="preserve">Page</t>
  </si>
  <si>
    <t xml:space="preserve">Description tâche</t>
  </si>
  <si>
    <t xml:space="preserve">Type</t>
  </si>
  <si>
    <t xml:space="preserve">Qui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</si>
  <si>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</si>
  <si>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</si>
  <si>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</si>
  <si>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</si>
  <si>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Backoffice</t>
  </si>
  <si>
    <t xml:space="preserve">Gestion Login</t>
  </si>
  <si>
    <t xml:space="preserve">Login</t>
  </si>
  <si>
    <t xml:space="preserve">Formulaire login avec login/mdp par defaut</t>
  </si>
  <si>
    <t xml:space="preserve">Affichage</t>
  </si>
  <si>
    <t xml:space="preserve">Protection des pages backoffice (auth guard)</t>
  </si>
  <si>
    <t xml:space="preserve">Metier</t>
  </si>
  <si>
    <t xml:space="preserve">Verification credentials et session</t>
  </si>
  <si>
    <t xml:space="preserve">Integration</t>
  </si>
  <si>
    <t xml:space="preserve">Import Données</t>
  </si>
  <si>
    <t xml:space="preserve">Import</t>
  </si>
  <si>
    <t xml:space="preserve">Page import avec bouton reset donnees</t>
  </si>
  <si>
    <t xml:space="preserve">Import 3 fichiers CSV (produits/categories/commandes)</t>
  </si>
  <si>
    <t xml:space="preserve">Import fichier ZIP images</t>
  </si>
  <si>
    <t xml:space="preserve">Traitement et sauvegarde donnees importees</t>
  </si>
  <si>
    <t xml:space="preserve">Gestion Commandes</t>
  </si>
  <si>
    <t xml:space="preserve">Commandes</t>
  </si>
  <si>
    <t xml:space="preserve">Page liste des commandes</t>
  </si>
  <si>
    <t xml:space="preserve">Modification etat commande (payement effectue/annule)</t>
  </si>
  <si>
    <t xml:space="preserve">Persistance etat commande en base</t>
  </si>
  <si>
    <t xml:space="preserve">Frontoffice</t>
  </si>
  <si>
    <t xml:space="preserve">Catalogue Produits</t>
  </si>
  <si>
    <t xml:space="preserve">Accueil</t>
  </si>
  <si>
    <t xml:space="preserve">Page d'accueil liste des produits</t>
  </si>
  <si>
    <t xml:space="preserve">Fiche Produit</t>
  </si>
  <si>
    <t xml:space="preserve">Fiche produit detaillee</t>
  </si>
  <si>
    <t xml:space="preserve">Recuperation produits depuis Prestashop</t>
  </si>
  <si>
    <t xml:space="preserve">Workflow Achat</t>
  </si>
  <si>
    <t xml:space="preserve">Panier</t>
  </si>
  <si>
    <t xml:space="preserve">Gestion panier (ajout/suppression/quantite)</t>
  </si>
  <si>
    <t xml:space="preserve">Logique metier panier (calcul total)</t>
  </si>
  <si>
    <t xml:space="preserve">Commande</t>
  </si>
  <si>
    <t xml:space="preserve">Validation commande - paiement a la livraison</t>
  </si>
  <si>
    <t xml:space="preserve">Pas de frais de livraison (logique metier)</t>
  </si>
  <si>
    <t xml:space="preserve">Enregistrement commande en base</t>
  </si>
  <si>
    <t xml:space="preserve">Mes Commandes</t>
  </si>
  <si>
    <t xml:space="preserve">Page état de mes commandes</t>
  </si>
  <si>
    <t xml:space="preserve">Recuperation commandes utilisateur</t>
  </si>
  <si>
    <t xml:space="preserve">ExistingApp</t>
  </si>
  <si>
    <t xml:space="preserve">Sync Prestashop</t>
  </si>
  <si>
    <t xml:space="preserve">Verifier donnees importees visibles dans backoffice</t>
  </si>
  <si>
    <t xml:space="preserve">Verifier impact modifications donnees sur NewApp</t>
  </si>
  <si>
    <t xml:space="preserve">Ajout etat dans le panier dans les statuts</t>
  </si>
  <si>
    <t xml:space="preserve">Import donnees commandes avec nouveaux etats</t>
  </si>
  <si>
    <t xml:space="preserve">Tableau de Bord</t>
  </si>
  <si>
    <t xml:space="preserve">Dashboard</t>
  </si>
  <si>
    <t xml:space="preserve">Dashboard - nb commandes par jour</t>
  </si>
  <si>
    <t xml:space="preserve">Dashboard - montant commandes par jour</t>
  </si>
  <si>
    <t xml:space="preserve">Dashboard - total general (toutes dates)</t>
  </si>
  <si>
    <t xml:space="preserve">Calcul agregats commandes pour dashboard</t>
  </si>
  <si>
    <t xml:space="preserve">Import declinaison simple (1 seule, sans combinaison)</t>
  </si>
  <si>
    <t xml:space="preserve">Gestion Utilisateurs</t>
  </si>
  <si>
    <t xml:space="preserve">Page choix utilisateur existant (remplace accueil)</t>
  </si>
  <si>
    <t xml:space="preserve">Option utilisateur anonyme</t>
  </si>
  <si>
    <t xml:space="preserve">Logique connexion avec utilisateur selectionne</t>
  </si>
  <si>
    <t xml:space="preserve">Badge HOT pour produits sortis depuis moins de 1 jour</t>
  </si>
  <si>
    <t xml:space="preserve">Badge NEW pour produits sortis depuis moins de 1 semaine</t>
  </si>
  <si>
    <t xml:space="preserve">Calcul badge via date_availability_produit</t>
  </si>
  <si>
    <t xml:space="preserve">Recherche</t>
  </si>
  <si>
    <t xml:space="preserve">Formulaire recherche multicritere (nom/categorie/prix)</t>
  </si>
  <si>
    <t xml:space="preserve">Filtre recherche par nom de produit</t>
  </si>
  <si>
    <t xml:space="preserve">Filtre recherche par categorie</t>
  </si>
  <si>
    <t xml:space="preserve">Filtre recherche par intervalle de prix</t>
  </si>
  <si>
    <t xml:space="preserve">Integration resultats recherche avec catalogue</t>
  </si>
  <si>
    <t xml:space="preserve">Validation colonne non conforme à l'import</t>
  </si>
  <si>
    <t xml:space="preserve">Validation format date DD/MM/YYYY à l'import</t>
  </si>
  <si>
    <t xml:space="preserve">Validation montant positif a l'import</t>
  </si>
  <si>
    <t xml:space="preserve">Affichage messages d'erreur import</t>
  </si>
  <si>
    <t xml:space="preserve">Gestion Stock</t>
  </si>
  <si>
    <t xml:space="preserve">Stock</t>
  </si>
  <si>
    <t xml:space="preserve">Page ajout en stock des produits</t>
  </si>
  <si>
    <t xml:space="preserve">Logique ajout stock avec delta</t>
  </si>
  <si>
    <t xml:space="preserve">Integration endpoint StockAvailable::updateQuantity</t>
  </si>
  <si>
    <t xml:space="preserve">Tableau evolution stock journalier par produit</t>
  </si>
  <si>
    <t xml:space="preserve">Calcul et agregation historique stock</t>
  </si>
  <si>
    <t xml:space="preserve">Afficher quantite en stock sur la fiche produit</t>
  </si>
  <si>
    <t xml:space="preserve">Recuperation stock en temps reel depuis Prestashop</t>
  </si>
  <si>
    <t xml:space="preserve">Data</t>
  </si>
  <si>
    <t xml:space="preserve">SUM of Estimation</t>
  </si>
  <si>
    <t xml:space="preserve">SUM of Temps passé</t>
  </si>
  <si>
    <t xml:space="preserve">SUM of Reste à faire</t>
  </si>
  <si>
    <t xml:space="preserve">(empty)</t>
  </si>
  <si>
    <t xml:space="preserve">Total Result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</si>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</sst>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%"/>
    <numFmt numFmtId="167" formatCode="0%"/>
    <numFmt numFmtId="168" formatCode="d/m"/>
  </numFmts>
  <fonts count="15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</font>
    <font>
      <sz val="11"/>
      <color theme="1"/>
      <name val="Arial"/>
      <family val="0"/>
    </font>
    <font>
      <b val="true"/>
      <sz val="11"/>
      <color rgb="FF000000"/>
      <name val="Arial"/>
      <family val="0"/>
    </font>
    <font>
      <b val="true"/>
      <sz val="11"/>
      <color rgb="FF000000"/>
      <name val="Times New Roman"/>
      <family val="0"/>
    </font>
    <font>
      <sz val="10"/>
      <color theme="1"/>
      <name val="Arial"/>
      <family val="0"/>
    </font>
    <font>
      <sz val="10"/>
      <color theme="1"/>
      <name val="Times New Roman"/>
      <family val="0"/>
    </font>
    <font>
      <b val="true"/>
      <sz val="11"/>
      <color theme="1"/>
      <name val="Arial"/>
      <family val="0"/>
    </font>
    <font>
      <b val="true"/>
      <sz val="12"/>
      <color theme="1"/>
      <name val="Aptos Narrow"/>
      <family val="0"/>
    </font>
    <font>
      <sz val="12"/>
      <color theme="1"/>
      <name val="Aptos Narrow"/>
      <family val="0"/>
    </font>
    <font>
      <b val="true"/>
      <sz val="12"/>
      <color theme="1"/>
      <name val="Arial"/>
      <family val="0"/>
    </font>
    <font>
      <sz val="12"/>
      <color theme="1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FFE599"/>
        <bgColor rgb="FFFFFF99"/>
      </patternFill>
    </fill>
    <fill>
      <patternFill patternType="solid">
        <fgColor rgb="FF95DCF7"/>
        <bgColor rgb="FFC9DAF8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1" createdVersion="3">
  <cacheSource type="worksheet">
    <worksheetSource ref="B1:K986" sheet="liste des taches"/>
  </cacheSource>
  <cacheFields count="10">
    <cacheField name="Catégorie" numFmtId="0">
      <sharedItems containsBlank="1" count="4">
        <s v="Backoffice"/>
        <s v="ExistingApp"/>
        <s v="Frontoffice"/>
        <m/>
      </sharedItems>
    </cacheField>
    <cacheField name="Module" numFmtId="0">
      <sharedItems containsBlank="1" count="12">
        <s v="Catalogue Produits"/>
        <s v="Gestion Commandes"/>
        <s v="Gestion Login"/>
        <s v="Gestion Stock"/>
        <s v="Gestion Utilisateurs"/>
        <s v="Import Données"/>
        <s v="Mes Commandes"/>
        <s v="Recherche"/>
        <s v="Sync Prestashop"/>
        <s v="Tableau de Bord"/>
        <s v="Workflow Achat"/>
        <m/>
      </sharedItems>
    </cacheField>
    <cacheField name="Page" numFmtId="0">
      <sharedItems containsBlank="1" count="13">
        <s v="Accueil"/>
        <s v="Backoffice"/>
        <s v="Commande"/>
        <s v="Commandes"/>
        <s v="Dashboard"/>
        <s v="Fiche Produit"/>
        <s v="Import"/>
        <s v="Login"/>
        <s v="Mes Commandes"/>
        <s v="Panier"/>
        <s v="Recherche"/>
        <s v="Stock"/>
        <m/>
      </sharedItems>
    </cacheField>
    <cacheField name="Description tâche" numFmtId="0">
      <sharedItems containsBlank="1" count="52">
        <s v="Affichage messages d'erreur import"/>
        <s v="Afficher quantite en stock sur la fiche produit"/>
        <s v="Ajout etat dans le panier dans les statuts"/>
        <s v="Badge HOT pour produits sortis depuis moins de 1 jour"/>
        <s v="Badge NEW pour produits sortis depuis moins de 1 semaine"/>
        <s v="Calcul agregats commandes pour dashboard"/>
        <s v="Calcul badge via date_availability_produit"/>
        <s v="Calcul et agregation historique stock"/>
        <s v="Dashboard - montant commandes par jour"/>
        <s v="Dashboard - nb commandes par jour"/>
        <s v="Dashboard - total general (toutes dates)"/>
        <s v="Enregistrement commande en base"/>
        <s v="Fiche produit detaillee"/>
        <s v="Filtre recherche par categorie"/>
        <s v="Filtre recherche par intervalle de prix"/>
        <s v="Filtre recherche par nom de produit"/>
        <s v="Formulaire login avec login/mdp par defaut"/>
        <s v="Formulaire recherche multicritere (nom/categorie/prix)"/>
        <s v="Gestion panier (ajout/suppression/quantite)"/>
        <s v="Import 3 fichiers CSV (produits/categories/commandes)"/>
        <s v="Import declinaison simple (1 seule, sans combinaison)"/>
        <s v="Import donnees commandes avec nouveaux etats"/>
        <s v="Import fichier ZIP images"/>
        <s v="Integration endpoint StockAvailable::updateQuantity"/>
        <s v="Integration resultats recherche avec catalogue"/>
        <s v="Logique ajout stock avec delta"/>
        <s v="Logique connexion avec utilisateur selectionne"/>
        <s v="Logique metier panier (calcul total)"/>
        <s v="Modification etat commande (payement effectue/annule)"/>
        <s v="Option utilisateur anonyme"/>
        <s v="Page ajout en stock des produits"/>
        <s v="Page choix utilisateur existant (remplace accueil)"/>
        <s v="Page d'accueil liste des produits"/>
        <s v="Page état de mes commandes"/>
        <s v="Page import avec bouton reset donnees"/>
        <s v="Page liste des commandes"/>
        <s v="Pas de frais de livraison (logique metier)"/>
        <s v="Persistance etat commande en base"/>
        <s v="Protection des pages backoffice (auth guard)"/>
        <s v="Recuperation commandes utilisateur"/>
        <s v="Recuperation produits depuis Prestashop"/>
        <s v="Recuperation stock en temps reel depuis Prestashop"/>
        <s v="Tableau evolution stock journalier par produit"/>
        <s v="Traitement et sauvegarde donnees importees"/>
        <s v="Validation colonne non conforme à l'import"/>
        <s v="Validation commande - paiement a la livraison"/>
        <s v="Validation format date DD/MM/YYYY à l'import"/>
        <s v="Validation montant positif a l'import"/>
        <s v="Verification credentials et session"/>
        <s v="Verifier donnees importees visibles dans backoffice"/>
        <s v="Verifier impact modifications donnees sur NewApp"/>
        <m/>
      </sharedItems>
    </cacheField>
    <cacheField name="Type" numFmtId="0">
      <sharedItems containsBlank="1" count="4">
        <s v="Affichage"/>
        <s v="Integration"/>
        <s v="Metier"/>
        <m/>
      </sharedItems>
    </cacheField>
    <cacheField name="Qui" numFmtId="0">
      <sharedItems containsBlank="1" count="2">
        <s v="ETU003240"/>
        <m/>
      </sharedItems>
    </cacheField>
    <cacheField name="Estimation" numFmtId="0">
      <sharedItems containsString="0" containsBlank="1" containsNumber="1" containsInteger="1" minValue="15" maxValue="60" count="8">
        <n v="15"/>
        <n v="20"/>
        <n v="25"/>
        <n v="30"/>
        <n v="35"/>
        <n v="45"/>
        <n v="60"/>
        <m/>
      </sharedItems>
    </cacheField>
    <cacheField name="Temps passé" numFmtId="0">
      <sharedItems containsString="0" containsBlank="1" containsNumber="1" containsInteger="1" minValue="0" maxValue="45" count="8">
        <n v="0"/>
        <n v="15"/>
        <n v="20"/>
        <n v="25"/>
        <n v="30"/>
        <n v="35"/>
        <n v="45"/>
        <m/>
      </sharedItems>
    </cacheField>
    <cacheField name="Reste à faire" numFmtId="0">
      <sharedItems containsString="0" containsBlank="1" containsNumber="1" containsInteger="1" minValue="0" maxValue="0" count="2">
        <n v="0"/>
        <m/>
      </sharedItems>
    </cacheField>
    <cacheField name="Avancement" numFmtId="0">
      <sharedItems containsBlank="1" containsMixedTypes="1" containsNumber="1" containsInteger="1" minValue="1" maxValue="1" count="3">
        <n v="1"/>
        <e v="#DIV/0!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2"/>
    <x v="7"/>
    <x v="16"/>
    <x v="0"/>
    <x v="0"/>
    <x v="3"/>
    <x v="6"/>
    <x v="0"/>
    <x v="0"/>
  </r>
  <r>
    <x v="0"/>
    <x v="2"/>
    <x v="7"/>
    <x v="38"/>
    <x v="2"/>
    <x v="0"/>
    <x v="5"/>
    <x v="3"/>
    <x v="0"/>
    <x v="0"/>
  </r>
  <r>
    <x v="0"/>
    <x v="2"/>
    <x v="7"/>
    <x v="48"/>
    <x v="1"/>
    <x v="0"/>
    <x v="3"/>
    <x v="4"/>
    <x v="0"/>
    <x v="0"/>
  </r>
  <r>
    <x v="0"/>
    <x v="5"/>
    <x v="6"/>
    <x v="34"/>
    <x v="0"/>
    <x v="0"/>
    <x v="1"/>
    <x v="2"/>
    <x v="0"/>
    <x v="0"/>
  </r>
  <r>
    <x v="0"/>
    <x v="5"/>
    <x v="6"/>
    <x v="19"/>
    <x v="2"/>
    <x v="0"/>
    <x v="6"/>
    <x v="4"/>
    <x v="0"/>
    <x v="0"/>
  </r>
  <r>
    <x v="0"/>
    <x v="5"/>
    <x v="6"/>
    <x v="22"/>
    <x v="2"/>
    <x v="0"/>
    <x v="3"/>
    <x v="3"/>
    <x v="0"/>
    <x v="0"/>
  </r>
  <r>
    <x v="0"/>
    <x v="5"/>
    <x v="6"/>
    <x v="43"/>
    <x v="1"/>
    <x v="0"/>
    <x v="5"/>
    <x v="4"/>
    <x v="0"/>
    <x v="0"/>
  </r>
  <r>
    <x v="0"/>
    <x v="1"/>
    <x v="3"/>
    <x v="35"/>
    <x v="0"/>
    <x v="0"/>
    <x v="2"/>
    <x v="5"/>
    <x v="0"/>
    <x v="0"/>
  </r>
  <r>
    <x v="0"/>
    <x v="1"/>
    <x v="3"/>
    <x v="28"/>
    <x v="2"/>
    <x v="0"/>
    <x v="3"/>
    <x v="3"/>
    <x v="0"/>
    <x v="0"/>
  </r>
  <r>
    <x v="0"/>
    <x v="1"/>
    <x v="3"/>
    <x v="37"/>
    <x v="1"/>
    <x v="0"/>
    <x v="1"/>
    <x v="3"/>
    <x v="0"/>
    <x v="0"/>
  </r>
  <r>
    <x v="2"/>
    <x v="0"/>
    <x v="0"/>
    <x v="32"/>
    <x v="0"/>
    <x v="0"/>
    <x v="3"/>
    <x v="1"/>
    <x v="0"/>
    <x v="0"/>
  </r>
  <r>
    <x v="2"/>
    <x v="0"/>
    <x v="5"/>
    <x v="12"/>
    <x v="0"/>
    <x v="0"/>
    <x v="2"/>
    <x v="4"/>
    <x v="0"/>
    <x v="0"/>
  </r>
  <r>
    <x v="2"/>
    <x v="0"/>
    <x v="0"/>
    <x v="40"/>
    <x v="1"/>
    <x v="0"/>
    <x v="3"/>
    <x v="2"/>
    <x v="0"/>
    <x v="0"/>
  </r>
  <r>
    <x v="2"/>
    <x v="10"/>
    <x v="9"/>
    <x v="18"/>
    <x v="0"/>
    <x v="0"/>
    <x v="4"/>
    <x v="2"/>
    <x v="0"/>
    <x v="0"/>
  </r>
  <r>
    <x v="2"/>
    <x v="10"/>
    <x v="9"/>
    <x v="27"/>
    <x v="2"/>
    <x v="0"/>
    <x v="2"/>
    <x v="4"/>
    <x v="0"/>
    <x v="0"/>
  </r>
  <r>
    <x v="2"/>
    <x v="10"/>
    <x v="2"/>
    <x v="45"/>
    <x v="0"/>
    <x v="0"/>
    <x v="2"/>
    <x v="3"/>
    <x v="0"/>
    <x v="0"/>
  </r>
  <r>
    <x v="2"/>
    <x v="10"/>
    <x v="2"/>
    <x v="36"/>
    <x v="2"/>
    <x v="0"/>
    <x v="0"/>
    <x v="2"/>
    <x v="0"/>
    <x v="0"/>
  </r>
  <r>
    <x v="2"/>
    <x v="10"/>
    <x v="2"/>
    <x v="11"/>
    <x v="1"/>
    <x v="0"/>
    <x v="3"/>
    <x v="3"/>
    <x v="0"/>
    <x v="0"/>
  </r>
  <r>
    <x v="2"/>
    <x v="6"/>
    <x v="8"/>
    <x v="33"/>
    <x v="0"/>
    <x v="0"/>
    <x v="1"/>
    <x v="4"/>
    <x v="0"/>
    <x v="0"/>
  </r>
  <r>
    <x v="2"/>
    <x v="6"/>
    <x v="8"/>
    <x v="39"/>
    <x v="1"/>
    <x v="0"/>
    <x v="1"/>
    <x v="2"/>
    <x v="0"/>
    <x v="0"/>
  </r>
  <r>
    <x v="1"/>
    <x v="8"/>
    <x v="1"/>
    <x v="49"/>
    <x v="2"/>
    <x v="0"/>
    <x v="3"/>
    <x v="2"/>
    <x v="0"/>
    <x v="0"/>
  </r>
  <r>
    <x v="1"/>
    <x v="8"/>
    <x v="1"/>
    <x v="50"/>
    <x v="1"/>
    <x v="0"/>
    <x v="2"/>
    <x v="5"/>
    <x v="0"/>
    <x v="0"/>
  </r>
  <r>
    <x v="0"/>
    <x v="1"/>
    <x v="3"/>
    <x v="2"/>
    <x v="2"/>
    <x v="0"/>
    <x v="1"/>
    <x v="4"/>
    <x v="0"/>
    <x v="0"/>
  </r>
  <r>
    <x v="0"/>
    <x v="1"/>
    <x v="3"/>
    <x v="21"/>
    <x v="1"/>
    <x v="0"/>
    <x v="2"/>
    <x v="4"/>
    <x v="0"/>
    <x v="0"/>
  </r>
  <r>
    <x v="0"/>
    <x v="9"/>
    <x v="4"/>
    <x v="9"/>
    <x v="0"/>
    <x v="0"/>
    <x v="3"/>
    <x v="1"/>
    <x v="0"/>
    <x v="0"/>
  </r>
  <r>
    <x v="0"/>
    <x v="9"/>
    <x v="4"/>
    <x v="8"/>
    <x v="0"/>
    <x v="0"/>
    <x v="1"/>
    <x v="2"/>
    <x v="0"/>
    <x v="0"/>
  </r>
  <r>
    <x v="0"/>
    <x v="9"/>
    <x v="4"/>
    <x v="10"/>
    <x v="0"/>
    <x v="0"/>
    <x v="1"/>
    <x v="2"/>
    <x v="0"/>
    <x v="0"/>
  </r>
  <r>
    <x v="0"/>
    <x v="9"/>
    <x v="4"/>
    <x v="5"/>
    <x v="2"/>
    <x v="0"/>
    <x v="4"/>
    <x v="1"/>
    <x v="0"/>
    <x v="0"/>
  </r>
  <r>
    <x v="0"/>
    <x v="5"/>
    <x v="6"/>
    <x v="20"/>
    <x v="2"/>
    <x v="0"/>
    <x v="3"/>
    <x v="1"/>
    <x v="0"/>
    <x v="0"/>
  </r>
  <r>
    <x v="2"/>
    <x v="4"/>
    <x v="7"/>
    <x v="31"/>
    <x v="0"/>
    <x v="0"/>
    <x v="3"/>
    <x v="3"/>
    <x v="0"/>
    <x v="0"/>
  </r>
  <r>
    <x v="2"/>
    <x v="4"/>
    <x v="7"/>
    <x v="29"/>
    <x v="0"/>
    <x v="0"/>
    <x v="0"/>
    <x v="2"/>
    <x v="0"/>
    <x v="0"/>
  </r>
  <r>
    <x v="2"/>
    <x v="4"/>
    <x v="7"/>
    <x v="26"/>
    <x v="2"/>
    <x v="0"/>
    <x v="1"/>
    <x v="1"/>
    <x v="0"/>
    <x v="0"/>
  </r>
  <r>
    <x v="2"/>
    <x v="0"/>
    <x v="0"/>
    <x v="3"/>
    <x v="0"/>
    <x v="0"/>
    <x v="1"/>
    <x v="1"/>
    <x v="0"/>
    <x v="0"/>
  </r>
  <r>
    <x v="2"/>
    <x v="0"/>
    <x v="0"/>
    <x v="4"/>
    <x v="0"/>
    <x v="0"/>
    <x v="0"/>
    <x v="2"/>
    <x v="0"/>
    <x v="0"/>
  </r>
  <r>
    <x v="2"/>
    <x v="0"/>
    <x v="0"/>
    <x v="6"/>
    <x v="2"/>
    <x v="0"/>
    <x v="0"/>
    <x v="2"/>
    <x v="0"/>
    <x v="0"/>
  </r>
  <r>
    <x v="2"/>
    <x v="7"/>
    <x v="10"/>
    <x v="17"/>
    <x v="0"/>
    <x v="0"/>
    <x v="2"/>
    <x v="2"/>
    <x v="0"/>
    <x v="0"/>
  </r>
  <r>
    <x v="2"/>
    <x v="7"/>
    <x v="10"/>
    <x v="15"/>
    <x v="2"/>
    <x v="0"/>
    <x v="1"/>
    <x v="1"/>
    <x v="0"/>
    <x v="0"/>
  </r>
  <r>
    <x v="2"/>
    <x v="7"/>
    <x v="10"/>
    <x v="13"/>
    <x v="2"/>
    <x v="0"/>
    <x v="0"/>
    <x v="2"/>
    <x v="0"/>
    <x v="0"/>
  </r>
  <r>
    <x v="2"/>
    <x v="7"/>
    <x v="10"/>
    <x v="14"/>
    <x v="2"/>
    <x v="0"/>
    <x v="0"/>
    <x v="3"/>
    <x v="0"/>
    <x v="0"/>
  </r>
  <r>
    <x v="2"/>
    <x v="7"/>
    <x v="10"/>
    <x v="24"/>
    <x v="1"/>
    <x v="0"/>
    <x v="1"/>
    <x v="2"/>
    <x v="0"/>
    <x v="0"/>
  </r>
  <r>
    <x v="0"/>
    <x v="5"/>
    <x v="6"/>
    <x v="44"/>
    <x v="2"/>
    <x v="0"/>
    <x v="1"/>
    <x v="4"/>
    <x v="0"/>
    <x v="0"/>
  </r>
  <r>
    <x v="0"/>
    <x v="5"/>
    <x v="6"/>
    <x v="46"/>
    <x v="2"/>
    <x v="0"/>
    <x v="1"/>
    <x v="3"/>
    <x v="0"/>
    <x v="0"/>
  </r>
  <r>
    <x v="0"/>
    <x v="5"/>
    <x v="6"/>
    <x v="47"/>
    <x v="2"/>
    <x v="0"/>
    <x v="0"/>
    <x v="2"/>
    <x v="0"/>
    <x v="0"/>
  </r>
  <r>
    <x v="0"/>
    <x v="5"/>
    <x v="6"/>
    <x v="0"/>
    <x v="0"/>
    <x v="0"/>
    <x v="1"/>
    <x v="1"/>
    <x v="0"/>
    <x v="0"/>
  </r>
  <r>
    <x v="0"/>
    <x v="3"/>
    <x v="11"/>
    <x v="30"/>
    <x v="0"/>
    <x v="0"/>
    <x v="2"/>
    <x v="1"/>
    <x v="0"/>
    <x v="0"/>
  </r>
  <r>
    <x v="0"/>
    <x v="3"/>
    <x v="11"/>
    <x v="25"/>
    <x v="2"/>
    <x v="0"/>
    <x v="1"/>
    <x v="0"/>
    <x v="0"/>
    <x v="1"/>
  </r>
  <r>
    <x v="0"/>
    <x v="3"/>
    <x v="11"/>
    <x v="23"/>
    <x v="1"/>
    <x v="0"/>
    <x v="3"/>
    <x v="0"/>
    <x v="0"/>
    <x v="1"/>
  </r>
  <r>
    <x v="0"/>
    <x v="3"/>
    <x v="11"/>
    <x v="42"/>
    <x v="0"/>
    <x v="0"/>
    <x v="2"/>
    <x v="0"/>
    <x v="0"/>
    <x v="1"/>
  </r>
  <r>
    <x v="0"/>
    <x v="3"/>
    <x v="11"/>
    <x v="7"/>
    <x v="2"/>
    <x v="0"/>
    <x v="1"/>
    <x v="0"/>
    <x v="0"/>
    <x v="1"/>
  </r>
  <r>
    <x v="2"/>
    <x v="0"/>
    <x v="5"/>
    <x v="1"/>
    <x v="0"/>
    <x v="0"/>
    <x v="0"/>
    <x v="0"/>
    <x v="0"/>
    <x v="1"/>
  </r>
  <r>
    <x v="2"/>
    <x v="0"/>
    <x v="5"/>
    <x v="41"/>
    <x v="1"/>
    <x v="0"/>
    <x v="0"/>
    <x v="0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cap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D5" firstHeaderRow="1" firstDataRow="2" firstDataCol="1"/>
  <pivotFields count="10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3">
        <item x="1"/>
        <item x="0"/>
        <item t="default"/>
      </items>
    </pivotField>
    <pivotField dataField="1" compact="0" showAll="0" outline="0"/>
    <pivotField dataField="1" compact="0" showAll="0" outline="0"/>
    <pivotField dataField="1" compact="0" showAll="0" outline="0"/>
    <pivotField compact="0" showAll="0" outline="0"/>
  </pivotFields>
  <rowFields count="1">
    <field x="5"/>
  </rowFields>
  <colFields count="1">
    <field x="-2"/>
  </colFields>
  <dataFields count="3">
    <dataField name="SUM of Estimation" fld="6" subtotal="sum" numFmtId="164"/>
    <dataField name="SUM of Temps passé" fld="7" subtotal="sum" numFmtId="164"/>
    <dataField name="SUM of Reste à faire" fld="8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6796875" defaultRowHeight="12.8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/>
      <c r="B2" s="1"/>
    </row>
    <row r="3" customFormat="false" ht="13.5" hidden="false" customHeight="false" outlineLevel="0" collapsed="false">
      <c r="A3" s="1"/>
      <c r="B3" s="1"/>
    </row>
    <row r="4" customFormat="false" ht="13.5" hidden="false" customHeight="false" outlineLevel="0" collapsed="false">
      <c r="A4" s="1"/>
      <c r="B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E36" colorId="64" zoomScale="100" zoomScaleNormal="100" zoomScalePageLayoutView="100" workbookViewId="0">
      <selection pane="topLeft" activeCell="E45" activeCellId="0" sqref="E45"/>
    </sheetView>
  </sheetViews>
  <sheetFormatPr defaultColWidth="12.66796875" defaultRowHeight="12.8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4" min="4" style="0" width="17.56"/>
    <col collapsed="false" customWidth="true" hidden="false" outlineLevel="0" max="5" min="5" style="0" width="70"/>
  </cols>
  <sheetData>
    <row r="1" customFormat="false" ht="13.5" hidden="false" customHeight="false" outlineLevel="0" collapsed="false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</row>
    <row r="2" customFormat="false" ht="12.75" hidden="false" customHeight="false" outlineLevel="0" collapsed="false">
      <c r="A2" s="5" t="n">
        <v>1</v>
      </c>
      <c r="B2" s="5" t="s">
        <v>13</v>
      </c>
      <c r="C2" s="6" t="s">
        <v>14</v>
      </c>
      <c r="D2" s="5" t="s">
        <v>15</v>
      </c>
      <c r="E2" s="6" t="s">
        <v>16</v>
      </c>
      <c r="F2" s="6" t="s">
        <v>17</v>
      </c>
      <c r="G2" s="5" t="s">
        <v>0</v>
      </c>
      <c r="H2" s="5" t="n">
        <v>30</v>
      </c>
      <c r="I2" s="7" t="n">
        <f aca="false">detail_avancement!B8</f>
        <v>45</v>
      </c>
      <c r="J2" s="7" t="n">
        <v>0</v>
      </c>
      <c r="K2" s="8" t="n">
        <f aca="false">(I2/(I2+J2))</f>
        <v>1</v>
      </c>
    </row>
    <row r="3" customFormat="false" ht="12.75" hidden="false" customHeight="false" outlineLevel="0" collapsed="false">
      <c r="A3" s="5" t="n">
        <v>2</v>
      </c>
      <c r="B3" s="5" t="s">
        <v>13</v>
      </c>
      <c r="C3" s="6" t="s">
        <v>14</v>
      </c>
      <c r="D3" s="5" t="s">
        <v>15</v>
      </c>
      <c r="E3" s="6" t="s">
        <v>18</v>
      </c>
      <c r="F3" s="5" t="s">
        <v>19</v>
      </c>
      <c r="G3" s="5" t="s">
        <v>0</v>
      </c>
      <c r="H3" s="5" t="n">
        <v>45</v>
      </c>
      <c r="I3" s="7" t="n">
        <f aca="false">detail_avancement!B9</f>
        <v>25</v>
      </c>
      <c r="J3" s="7" t="n">
        <v>0</v>
      </c>
      <c r="K3" s="8" t="n">
        <f aca="false">(I3/(I3+J3))</f>
        <v>1</v>
      </c>
    </row>
    <row r="4" customFormat="false" ht="12.75" hidden="false" customHeight="false" outlineLevel="0" collapsed="false">
      <c r="A4" s="5" t="n">
        <v>3</v>
      </c>
      <c r="B4" s="5" t="s">
        <v>13</v>
      </c>
      <c r="C4" s="5" t="s">
        <v>14</v>
      </c>
      <c r="D4" s="5" t="s">
        <v>15</v>
      </c>
      <c r="E4" s="5" t="s">
        <v>20</v>
      </c>
      <c r="F4" s="5" t="s">
        <v>21</v>
      </c>
      <c r="G4" s="5" t="s">
        <v>0</v>
      </c>
      <c r="H4" s="5" t="n">
        <v>30</v>
      </c>
      <c r="I4" s="7" t="n">
        <f aca="false">detail_avancement!B10</f>
        <v>30</v>
      </c>
      <c r="J4" s="5" t="n">
        <v>0</v>
      </c>
      <c r="K4" s="8" t="n">
        <f aca="false">(I4/(I4+J4))</f>
        <v>1</v>
      </c>
    </row>
    <row r="5" customFormat="false" ht="12.75" hidden="false" customHeight="false" outlineLevel="0" collapsed="false">
      <c r="A5" s="5" t="n">
        <v>4</v>
      </c>
      <c r="B5" s="5" t="s">
        <v>13</v>
      </c>
      <c r="C5" s="5" t="s">
        <v>22</v>
      </c>
      <c r="D5" s="5" t="s">
        <v>23</v>
      </c>
      <c r="E5" s="5" t="s">
        <v>24</v>
      </c>
      <c r="F5" s="5" t="s">
        <v>17</v>
      </c>
      <c r="G5" s="5" t="s">
        <v>0</v>
      </c>
      <c r="H5" s="5" t="n">
        <v>20</v>
      </c>
      <c r="I5" s="7" t="n">
        <f aca="false">detail_avancement!B11</f>
        <v>20</v>
      </c>
      <c r="J5" s="5" t="n">
        <v>0</v>
      </c>
      <c r="K5" s="8" t="n">
        <f aca="false">(I5/(I5+J5))</f>
        <v>1</v>
      </c>
    </row>
    <row r="6" customFormat="false" ht="12.75" hidden="false" customHeight="false" outlineLevel="0" collapsed="false">
      <c r="A6" s="5" t="n">
        <v>5</v>
      </c>
      <c r="B6" s="5" t="s">
        <v>13</v>
      </c>
      <c r="C6" s="5" t="s">
        <v>22</v>
      </c>
      <c r="D6" s="5" t="s">
        <v>23</v>
      </c>
      <c r="E6" s="5" t="s">
        <v>25</v>
      </c>
      <c r="F6" s="5" t="s">
        <v>19</v>
      </c>
      <c r="G6" s="5" t="s">
        <v>0</v>
      </c>
      <c r="H6" s="5" t="n">
        <v>60</v>
      </c>
      <c r="I6" s="7" t="n">
        <f aca="false">detail_avancement!B12</f>
        <v>30</v>
      </c>
      <c r="J6" s="5" t="n">
        <v>0</v>
      </c>
      <c r="K6" s="8" t="n">
        <f aca="false">(I6/(I6+J6))</f>
        <v>1</v>
      </c>
    </row>
    <row r="7" customFormat="false" ht="12.75" hidden="false" customHeight="false" outlineLevel="0" collapsed="false">
      <c r="A7" s="5" t="n">
        <v>6</v>
      </c>
      <c r="B7" s="5" t="s">
        <v>13</v>
      </c>
      <c r="C7" s="5" t="s">
        <v>22</v>
      </c>
      <c r="D7" s="5" t="s">
        <v>23</v>
      </c>
      <c r="E7" s="5" t="s">
        <v>26</v>
      </c>
      <c r="F7" s="5" t="s">
        <v>19</v>
      </c>
      <c r="G7" s="5" t="s">
        <v>0</v>
      </c>
      <c r="H7" s="5" t="n">
        <v>30</v>
      </c>
      <c r="I7" s="7" t="n">
        <f aca="false">detail_avancement!B13</f>
        <v>25</v>
      </c>
      <c r="J7" s="5" t="n">
        <v>0</v>
      </c>
      <c r="K7" s="8" t="n">
        <f aca="false">(I7/(I7+J7))</f>
        <v>1</v>
      </c>
    </row>
    <row r="8" customFormat="false" ht="12.75" hidden="false" customHeight="false" outlineLevel="0" collapsed="false">
      <c r="A8" s="5" t="n">
        <v>7</v>
      </c>
      <c r="B8" s="5" t="s">
        <v>13</v>
      </c>
      <c r="C8" s="5" t="s">
        <v>22</v>
      </c>
      <c r="D8" s="5" t="s">
        <v>23</v>
      </c>
      <c r="E8" s="5" t="s">
        <v>27</v>
      </c>
      <c r="F8" s="5" t="s">
        <v>21</v>
      </c>
      <c r="G8" s="5" t="s">
        <v>0</v>
      </c>
      <c r="H8" s="5" t="n">
        <v>45</v>
      </c>
      <c r="I8" s="7" t="n">
        <f aca="false">detail_avancement!B14</f>
        <v>30</v>
      </c>
      <c r="J8" s="5" t="n">
        <v>0</v>
      </c>
      <c r="K8" s="8" t="n">
        <f aca="false">(I8/(I8+J8))</f>
        <v>1</v>
      </c>
    </row>
    <row r="9" customFormat="false" ht="12.75" hidden="false" customHeight="false" outlineLevel="0" collapsed="false">
      <c r="A9" s="5" t="n">
        <v>8</v>
      </c>
      <c r="B9" s="5" t="s">
        <v>13</v>
      </c>
      <c r="C9" s="5" t="s">
        <v>28</v>
      </c>
      <c r="D9" s="5" t="s">
        <v>29</v>
      </c>
      <c r="E9" s="5" t="s">
        <v>30</v>
      </c>
      <c r="F9" s="5" t="s">
        <v>17</v>
      </c>
      <c r="G9" s="5" t="s">
        <v>0</v>
      </c>
      <c r="H9" s="5" t="n">
        <v>25</v>
      </c>
      <c r="I9" s="7" t="n">
        <f aca="false">detail_avancement!B15</f>
        <v>35</v>
      </c>
      <c r="J9" s="5" t="n">
        <v>0</v>
      </c>
      <c r="K9" s="8" t="n">
        <f aca="false">(I9/(I9+J9))</f>
        <v>1</v>
      </c>
    </row>
    <row r="10" customFormat="false" ht="12.75" hidden="false" customHeight="false" outlineLevel="0" collapsed="false">
      <c r="A10" s="5" t="n">
        <v>9</v>
      </c>
      <c r="B10" s="5" t="s">
        <v>13</v>
      </c>
      <c r="C10" s="5" t="s">
        <v>28</v>
      </c>
      <c r="D10" s="5" t="s">
        <v>29</v>
      </c>
      <c r="E10" s="5" t="s">
        <v>31</v>
      </c>
      <c r="F10" s="5" t="s">
        <v>19</v>
      </c>
      <c r="G10" s="5" t="s">
        <v>0</v>
      </c>
      <c r="H10" s="5" t="n">
        <v>30</v>
      </c>
      <c r="I10" s="7" t="n">
        <f aca="false">detail_avancement!B16</f>
        <v>25</v>
      </c>
      <c r="J10" s="5" t="n">
        <v>0</v>
      </c>
      <c r="K10" s="8" t="n">
        <f aca="false">(I10/(I10+J10))</f>
        <v>1</v>
      </c>
    </row>
    <row r="11" customFormat="false" ht="12.75" hidden="false" customHeight="false" outlineLevel="0" collapsed="false">
      <c r="A11" s="5" t="n">
        <v>10</v>
      </c>
      <c r="B11" s="5" t="s">
        <v>13</v>
      </c>
      <c r="C11" s="5" t="s">
        <v>28</v>
      </c>
      <c r="D11" s="5" t="s">
        <v>29</v>
      </c>
      <c r="E11" s="5" t="s">
        <v>32</v>
      </c>
      <c r="F11" s="5" t="s">
        <v>21</v>
      </c>
      <c r="G11" s="5" t="s">
        <v>0</v>
      </c>
      <c r="H11" s="5" t="n">
        <v>20</v>
      </c>
      <c r="I11" s="7" t="n">
        <f aca="false">detail_avancement!B17</f>
        <v>25</v>
      </c>
      <c r="J11" s="5" t="n">
        <v>0</v>
      </c>
      <c r="K11" s="8" t="n">
        <f aca="false">(I11/(I11+J11))</f>
        <v>1</v>
      </c>
    </row>
    <row r="12" customFormat="false" ht="12.75" hidden="false" customHeight="false" outlineLevel="0" collapsed="false">
      <c r="A12" s="5" t="n">
        <v>11</v>
      </c>
      <c r="B12" s="5" t="s">
        <v>33</v>
      </c>
      <c r="C12" s="5" t="s">
        <v>34</v>
      </c>
      <c r="D12" s="5" t="s">
        <v>35</v>
      </c>
      <c r="E12" s="5" t="s">
        <v>36</v>
      </c>
      <c r="F12" s="5" t="s">
        <v>17</v>
      </c>
      <c r="G12" s="5" t="s">
        <v>0</v>
      </c>
      <c r="H12" s="5" t="n">
        <v>30</v>
      </c>
      <c r="I12" s="7" t="n">
        <f aca="false">detail_avancement!B18</f>
        <v>15</v>
      </c>
      <c r="J12" s="5" t="n">
        <v>0</v>
      </c>
      <c r="K12" s="8" t="n">
        <f aca="false">(I12/(I12+J12))</f>
        <v>1</v>
      </c>
    </row>
    <row r="13" customFormat="false" ht="12.75" hidden="false" customHeight="false" outlineLevel="0" collapsed="false">
      <c r="A13" s="5" t="n">
        <v>12</v>
      </c>
      <c r="B13" s="5" t="s">
        <v>33</v>
      </c>
      <c r="C13" s="5" t="s">
        <v>34</v>
      </c>
      <c r="D13" s="5" t="s">
        <v>37</v>
      </c>
      <c r="E13" s="5" t="s">
        <v>38</v>
      </c>
      <c r="F13" s="5" t="s">
        <v>17</v>
      </c>
      <c r="G13" s="5" t="s">
        <v>0</v>
      </c>
      <c r="H13" s="5" t="n">
        <v>25</v>
      </c>
      <c r="I13" s="7" t="n">
        <f aca="false">detail_avancement!B19</f>
        <v>30</v>
      </c>
      <c r="J13" s="5" t="n">
        <v>0</v>
      </c>
      <c r="K13" s="8" t="n">
        <f aca="false">(I13/(I13+J13))</f>
        <v>1</v>
      </c>
    </row>
    <row r="14" customFormat="false" ht="12.75" hidden="false" customHeight="false" outlineLevel="0" collapsed="false">
      <c r="A14" s="9" t="n">
        <v>13</v>
      </c>
      <c r="B14" s="9" t="s">
        <v>33</v>
      </c>
      <c r="C14" s="9" t="s">
        <v>34</v>
      </c>
      <c r="D14" s="9" t="s">
        <v>35</v>
      </c>
      <c r="E14" s="9" t="s">
        <v>39</v>
      </c>
      <c r="F14" s="9" t="s">
        <v>21</v>
      </c>
      <c r="G14" s="9" t="s">
        <v>0</v>
      </c>
      <c r="H14" s="9" t="n">
        <v>30</v>
      </c>
      <c r="I14" s="7" t="n">
        <f aca="false">detail_avancement!B20</f>
        <v>20</v>
      </c>
      <c r="J14" s="9" t="n">
        <v>0</v>
      </c>
      <c r="K14" s="8" t="n">
        <f aca="false">(I14/(I14+J14))</f>
        <v>1</v>
      </c>
    </row>
    <row r="15" customFormat="false" ht="12.75" hidden="false" customHeight="false" outlineLevel="0" collapsed="false">
      <c r="A15" s="9" t="n">
        <v>14</v>
      </c>
      <c r="B15" s="9" t="s">
        <v>33</v>
      </c>
      <c r="C15" s="9" t="s">
        <v>40</v>
      </c>
      <c r="D15" s="9" t="s">
        <v>41</v>
      </c>
      <c r="E15" s="9" t="s">
        <v>42</v>
      </c>
      <c r="F15" s="9" t="s">
        <v>17</v>
      </c>
      <c r="G15" s="9" t="s">
        <v>0</v>
      </c>
      <c r="H15" s="9" t="n">
        <v>35</v>
      </c>
      <c r="I15" s="7" t="n">
        <f aca="false">detail_avancement!B21</f>
        <v>20</v>
      </c>
      <c r="J15" s="9" t="n">
        <v>0</v>
      </c>
      <c r="K15" s="8" t="n">
        <f aca="false">(I15/(I15+J15))</f>
        <v>1</v>
      </c>
    </row>
    <row r="16" customFormat="false" ht="12.75" hidden="false" customHeight="false" outlineLevel="0" collapsed="false">
      <c r="A16" s="9" t="n">
        <v>15</v>
      </c>
      <c r="B16" s="9" t="s">
        <v>33</v>
      </c>
      <c r="C16" s="9" t="s">
        <v>40</v>
      </c>
      <c r="D16" s="9" t="s">
        <v>41</v>
      </c>
      <c r="E16" s="9" t="s">
        <v>43</v>
      </c>
      <c r="F16" s="9" t="s">
        <v>19</v>
      </c>
      <c r="G16" s="9" t="s">
        <v>0</v>
      </c>
      <c r="H16" s="9" t="n">
        <v>25</v>
      </c>
      <c r="I16" s="7" t="n">
        <f aca="false">detail_avancement!B22</f>
        <v>30</v>
      </c>
      <c r="J16" s="9" t="n">
        <v>0</v>
      </c>
      <c r="K16" s="8" t="n">
        <f aca="false">(I16/(I16+J16))</f>
        <v>1</v>
      </c>
    </row>
    <row r="17" customFormat="false" ht="12.75" hidden="false" customHeight="false" outlineLevel="0" collapsed="false">
      <c r="A17" s="9" t="n">
        <v>16</v>
      </c>
      <c r="B17" s="9" t="s">
        <v>33</v>
      </c>
      <c r="C17" s="9" t="s">
        <v>40</v>
      </c>
      <c r="D17" s="9" t="s">
        <v>44</v>
      </c>
      <c r="E17" s="9" t="s">
        <v>45</v>
      </c>
      <c r="F17" s="9" t="s">
        <v>17</v>
      </c>
      <c r="G17" s="9" t="s">
        <v>0</v>
      </c>
      <c r="H17" s="9" t="n">
        <v>25</v>
      </c>
      <c r="I17" s="7" t="n">
        <f aca="false">detail_avancement!B23</f>
        <v>25</v>
      </c>
      <c r="J17" s="9" t="n">
        <v>0</v>
      </c>
      <c r="K17" s="8" t="n">
        <f aca="false">(I17/(I17+J17))</f>
        <v>1</v>
      </c>
    </row>
    <row r="18" customFormat="false" ht="12.75" hidden="false" customHeight="false" outlineLevel="0" collapsed="false">
      <c r="A18" s="9" t="n">
        <v>17</v>
      </c>
      <c r="B18" s="9" t="s">
        <v>33</v>
      </c>
      <c r="C18" s="9" t="s">
        <v>40</v>
      </c>
      <c r="D18" s="9" t="s">
        <v>44</v>
      </c>
      <c r="E18" s="9" t="s">
        <v>46</v>
      </c>
      <c r="F18" s="9" t="s">
        <v>19</v>
      </c>
      <c r="G18" s="9" t="s">
        <v>0</v>
      </c>
      <c r="H18" s="9" t="n">
        <v>15</v>
      </c>
      <c r="I18" s="7" t="n">
        <f aca="false">detail_avancement!B24</f>
        <v>20</v>
      </c>
      <c r="J18" s="9" t="n">
        <v>0</v>
      </c>
      <c r="K18" s="8" t="n">
        <f aca="false">(I18/(I18+J18))</f>
        <v>1</v>
      </c>
    </row>
    <row r="19" customFormat="false" ht="12.75" hidden="false" customHeight="false" outlineLevel="0" collapsed="false">
      <c r="A19" s="9" t="n">
        <v>18</v>
      </c>
      <c r="B19" s="9" t="s">
        <v>33</v>
      </c>
      <c r="C19" s="9" t="s">
        <v>40</v>
      </c>
      <c r="D19" s="9" t="s">
        <v>44</v>
      </c>
      <c r="E19" s="9" t="s">
        <v>47</v>
      </c>
      <c r="F19" s="9" t="s">
        <v>21</v>
      </c>
      <c r="G19" s="9" t="s">
        <v>0</v>
      </c>
      <c r="H19" s="9" t="n">
        <v>30</v>
      </c>
      <c r="I19" s="7" t="n">
        <f aca="false">detail_avancement!B25</f>
        <v>25</v>
      </c>
      <c r="J19" s="9" t="n">
        <v>0</v>
      </c>
      <c r="K19" s="8" t="n">
        <f aca="false">(I19/(I19+J19))</f>
        <v>1</v>
      </c>
    </row>
    <row r="20" customFormat="false" ht="12.75" hidden="false" customHeight="false" outlineLevel="0" collapsed="false">
      <c r="A20" s="9" t="n">
        <v>19</v>
      </c>
      <c r="B20" s="9" t="s">
        <v>33</v>
      </c>
      <c r="C20" s="9" t="s">
        <v>48</v>
      </c>
      <c r="D20" s="9" t="s">
        <v>48</v>
      </c>
      <c r="E20" s="9" t="s">
        <v>49</v>
      </c>
      <c r="F20" s="9" t="s">
        <v>17</v>
      </c>
      <c r="G20" s="9" t="s">
        <v>0</v>
      </c>
      <c r="H20" s="9" t="n">
        <v>20</v>
      </c>
      <c r="I20" s="7" t="n">
        <f aca="false">detail_avancement!B26</f>
        <v>30</v>
      </c>
      <c r="J20" s="9" t="n">
        <v>0</v>
      </c>
      <c r="K20" s="8" t="n">
        <f aca="false">(I20/(I20+J20))</f>
        <v>1</v>
      </c>
    </row>
    <row r="21" customFormat="false" ht="12.75" hidden="false" customHeight="false" outlineLevel="0" collapsed="false">
      <c r="A21" s="9" t="n">
        <v>20</v>
      </c>
      <c r="B21" s="9" t="s">
        <v>33</v>
      </c>
      <c r="C21" s="9" t="s">
        <v>48</v>
      </c>
      <c r="D21" s="9" t="s">
        <v>48</v>
      </c>
      <c r="E21" s="9" t="s">
        <v>50</v>
      </c>
      <c r="F21" s="9" t="s">
        <v>21</v>
      </c>
      <c r="G21" s="9" t="s">
        <v>0</v>
      </c>
      <c r="H21" s="9" t="n">
        <v>20</v>
      </c>
      <c r="I21" s="7" t="n">
        <f aca="false">detail_avancement!B27</f>
        <v>20</v>
      </c>
      <c r="J21" s="9" t="n">
        <v>0</v>
      </c>
      <c r="K21" s="8" t="n">
        <f aca="false">(I21/(I21+J21))</f>
        <v>1</v>
      </c>
    </row>
    <row r="22" customFormat="false" ht="12.75" hidden="false" customHeight="false" outlineLevel="0" collapsed="false">
      <c r="A22" s="9" t="n">
        <v>21</v>
      </c>
      <c r="B22" s="9" t="s">
        <v>51</v>
      </c>
      <c r="C22" s="9" t="s">
        <v>52</v>
      </c>
      <c r="D22" s="9" t="s">
        <v>13</v>
      </c>
      <c r="E22" s="9" t="s">
        <v>53</v>
      </c>
      <c r="F22" s="9" t="s">
        <v>19</v>
      </c>
      <c r="G22" s="9" t="s">
        <v>0</v>
      </c>
      <c r="H22" s="9" t="n">
        <v>30</v>
      </c>
      <c r="I22" s="7" t="n">
        <f aca="false">detail_avancement!B28</f>
        <v>20</v>
      </c>
      <c r="J22" s="9" t="n">
        <v>0</v>
      </c>
      <c r="K22" s="8" t="n">
        <f aca="false">(I22/(I22+J22))</f>
        <v>1</v>
      </c>
    </row>
    <row r="23" customFormat="false" ht="12.75" hidden="false" customHeight="false" outlineLevel="0" collapsed="false">
      <c r="A23" s="9" t="n">
        <v>22</v>
      </c>
      <c r="B23" s="9" t="s">
        <v>51</v>
      </c>
      <c r="C23" s="9" t="s">
        <v>52</v>
      </c>
      <c r="D23" s="9" t="s">
        <v>13</v>
      </c>
      <c r="E23" s="9" t="s">
        <v>54</v>
      </c>
      <c r="F23" s="9" t="s">
        <v>21</v>
      </c>
      <c r="G23" s="9" t="s">
        <v>0</v>
      </c>
      <c r="H23" s="9" t="n">
        <v>25</v>
      </c>
      <c r="I23" s="7" t="n">
        <f aca="false">detail_avancement!B29</f>
        <v>35</v>
      </c>
      <c r="J23" s="9" t="n">
        <v>0</v>
      </c>
      <c r="K23" s="8" t="n">
        <f aca="false">(I23/(I23+J23))</f>
        <v>1</v>
      </c>
    </row>
    <row r="24" customFormat="false" ht="12.75" hidden="false" customHeight="false" outlineLevel="0" collapsed="false">
      <c r="A24" s="9" t="n">
        <v>23</v>
      </c>
      <c r="B24" s="9" t="s">
        <v>13</v>
      </c>
      <c r="C24" s="9" t="s">
        <v>28</v>
      </c>
      <c r="D24" s="9" t="s">
        <v>29</v>
      </c>
      <c r="E24" s="9" t="s">
        <v>55</v>
      </c>
      <c r="F24" s="9" t="s">
        <v>19</v>
      </c>
      <c r="G24" s="9" t="s">
        <v>0</v>
      </c>
      <c r="H24" s="9" t="n">
        <v>20</v>
      </c>
      <c r="I24" s="7" t="n">
        <f aca="false">detail_avancement!B30</f>
        <v>30</v>
      </c>
      <c r="J24" s="9" t="n">
        <v>0</v>
      </c>
      <c r="K24" s="8" t="n">
        <f aca="false">(I24/(I24+J24))</f>
        <v>1</v>
      </c>
    </row>
    <row r="25" customFormat="false" ht="12.75" hidden="false" customHeight="false" outlineLevel="0" collapsed="false">
      <c r="A25" s="9" t="n">
        <v>24</v>
      </c>
      <c r="B25" s="9" t="s">
        <v>13</v>
      </c>
      <c r="C25" s="9" t="s">
        <v>28</v>
      </c>
      <c r="D25" s="9" t="s">
        <v>29</v>
      </c>
      <c r="E25" s="9" t="s">
        <v>56</v>
      </c>
      <c r="F25" s="9" t="s">
        <v>21</v>
      </c>
      <c r="G25" s="9" t="s">
        <v>0</v>
      </c>
      <c r="H25" s="9" t="n">
        <v>25</v>
      </c>
      <c r="I25" s="7" t="n">
        <f aca="false">detail_avancement!B31</f>
        <v>30</v>
      </c>
      <c r="J25" s="9" t="n">
        <v>0</v>
      </c>
      <c r="K25" s="8" t="n">
        <f aca="false">(I25/(I25+J25))</f>
        <v>1</v>
      </c>
    </row>
    <row r="26" customFormat="false" ht="12.75" hidden="false" customHeight="false" outlineLevel="0" collapsed="false">
      <c r="A26" s="9" t="n">
        <v>25</v>
      </c>
      <c r="B26" s="9" t="s">
        <v>13</v>
      </c>
      <c r="C26" s="9" t="s">
        <v>57</v>
      </c>
      <c r="D26" s="9" t="s">
        <v>58</v>
      </c>
      <c r="E26" s="9" t="s">
        <v>59</v>
      </c>
      <c r="F26" s="9" t="s">
        <v>17</v>
      </c>
      <c r="G26" s="9" t="s">
        <v>0</v>
      </c>
      <c r="H26" s="9" t="n">
        <v>30</v>
      </c>
      <c r="I26" s="7" t="n">
        <f aca="false">detail_avancement!B32</f>
        <v>15</v>
      </c>
      <c r="J26" s="9" t="n">
        <v>0</v>
      </c>
      <c r="K26" s="8" t="n">
        <f aca="false">(I26/(I26+J26))</f>
        <v>1</v>
      </c>
    </row>
    <row r="27" customFormat="false" ht="12.75" hidden="false" customHeight="false" outlineLevel="0" collapsed="false">
      <c r="A27" s="9" t="n">
        <v>26</v>
      </c>
      <c r="B27" s="9" t="s">
        <v>13</v>
      </c>
      <c r="C27" s="9" t="s">
        <v>57</v>
      </c>
      <c r="D27" s="9" t="s">
        <v>58</v>
      </c>
      <c r="E27" s="9" t="s">
        <v>60</v>
      </c>
      <c r="F27" s="9" t="s">
        <v>17</v>
      </c>
      <c r="G27" s="9" t="s">
        <v>0</v>
      </c>
      <c r="H27" s="9" t="n">
        <v>20</v>
      </c>
      <c r="I27" s="7" t="n">
        <f aca="false">detail_avancement!B33</f>
        <v>20</v>
      </c>
      <c r="J27" s="9" t="n">
        <v>0</v>
      </c>
      <c r="K27" s="8" t="n">
        <f aca="false">(I27/(I27+J27))</f>
        <v>1</v>
      </c>
    </row>
    <row r="28" customFormat="false" ht="12.75" hidden="false" customHeight="false" outlineLevel="0" collapsed="false">
      <c r="A28" s="9" t="n">
        <v>27</v>
      </c>
      <c r="B28" s="9" t="s">
        <v>13</v>
      </c>
      <c r="C28" s="9" t="s">
        <v>57</v>
      </c>
      <c r="D28" s="9" t="s">
        <v>58</v>
      </c>
      <c r="E28" s="9" t="s">
        <v>61</v>
      </c>
      <c r="F28" s="9" t="s">
        <v>17</v>
      </c>
      <c r="G28" s="9" t="s">
        <v>0</v>
      </c>
      <c r="H28" s="9" t="n">
        <v>20</v>
      </c>
      <c r="I28" s="7" t="n">
        <f aca="false">detail_avancement!B34</f>
        <v>20</v>
      </c>
      <c r="J28" s="9" t="n">
        <v>0</v>
      </c>
      <c r="K28" s="8" t="n">
        <f aca="false">(I28/(I28+J28))</f>
        <v>1</v>
      </c>
    </row>
    <row r="29" customFormat="false" ht="12.75" hidden="false" customHeight="false" outlineLevel="0" collapsed="false">
      <c r="A29" s="9" t="n">
        <v>28</v>
      </c>
      <c r="B29" s="9" t="s">
        <v>13</v>
      </c>
      <c r="C29" s="9" t="s">
        <v>57</v>
      </c>
      <c r="D29" s="9" t="s">
        <v>58</v>
      </c>
      <c r="E29" s="9" t="s">
        <v>62</v>
      </c>
      <c r="F29" s="9" t="s">
        <v>19</v>
      </c>
      <c r="G29" s="9" t="s">
        <v>0</v>
      </c>
      <c r="H29" s="9" t="n">
        <v>35</v>
      </c>
      <c r="I29" s="7" t="n">
        <f aca="false">detail_avancement!B35</f>
        <v>15</v>
      </c>
      <c r="J29" s="9" t="n">
        <v>0</v>
      </c>
      <c r="K29" s="8" t="n">
        <f aca="false">(I29/(I29+J29))</f>
        <v>1</v>
      </c>
    </row>
    <row r="30" customFormat="false" ht="12.75" hidden="false" customHeight="false" outlineLevel="0" collapsed="false">
      <c r="A30" s="9" t="n">
        <v>29</v>
      </c>
      <c r="B30" s="9" t="s">
        <v>13</v>
      </c>
      <c r="C30" s="9" t="s">
        <v>22</v>
      </c>
      <c r="D30" s="9" t="s">
        <v>23</v>
      </c>
      <c r="E30" s="9" t="s">
        <v>63</v>
      </c>
      <c r="F30" s="9" t="s">
        <v>19</v>
      </c>
      <c r="G30" s="9" t="s">
        <v>0</v>
      </c>
      <c r="H30" s="9" t="n">
        <v>30</v>
      </c>
      <c r="I30" s="7" t="n">
        <f aca="false">detail_avancement!B36</f>
        <v>15</v>
      </c>
      <c r="J30" s="9" t="n">
        <v>0</v>
      </c>
      <c r="K30" s="8" t="n">
        <f aca="false">(I30/(I30+J30))</f>
        <v>1</v>
      </c>
    </row>
    <row r="31" customFormat="false" ht="12.75" hidden="false" customHeight="false" outlineLevel="0" collapsed="false">
      <c r="A31" s="9" t="n">
        <v>30</v>
      </c>
      <c r="B31" s="9" t="s">
        <v>33</v>
      </c>
      <c r="C31" s="9" t="s">
        <v>64</v>
      </c>
      <c r="D31" s="9" t="s">
        <v>15</v>
      </c>
      <c r="E31" s="9" t="s">
        <v>65</v>
      </c>
      <c r="F31" s="9" t="s">
        <v>17</v>
      </c>
      <c r="G31" s="9" t="s">
        <v>0</v>
      </c>
      <c r="H31" s="9" t="n">
        <v>30</v>
      </c>
      <c r="I31" s="7" t="n">
        <f aca="false">detail_avancement!B37</f>
        <v>25</v>
      </c>
      <c r="J31" s="9" t="n">
        <v>0</v>
      </c>
      <c r="K31" s="8" t="n">
        <f aca="false">(I31/(I31+J31))</f>
        <v>1</v>
      </c>
    </row>
    <row r="32" customFormat="false" ht="12.75" hidden="false" customHeight="false" outlineLevel="0" collapsed="false">
      <c r="A32" s="9" t="n">
        <v>31</v>
      </c>
      <c r="B32" s="9" t="s">
        <v>33</v>
      </c>
      <c r="C32" s="9" t="s">
        <v>64</v>
      </c>
      <c r="D32" s="9" t="s">
        <v>15</v>
      </c>
      <c r="E32" s="9" t="s">
        <v>66</v>
      </c>
      <c r="F32" s="9" t="s">
        <v>17</v>
      </c>
      <c r="G32" s="9" t="s">
        <v>0</v>
      </c>
      <c r="H32" s="9" t="n">
        <v>15</v>
      </c>
      <c r="I32" s="7" t="n">
        <f aca="false">detail_avancement!B38</f>
        <v>20</v>
      </c>
      <c r="J32" s="9" t="n">
        <v>0</v>
      </c>
      <c r="K32" s="8" t="n">
        <f aca="false">(I32/(I32+J32))</f>
        <v>1</v>
      </c>
    </row>
    <row r="33" customFormat="false" ht="12.75" hidden="false" customHeight="false" outlineLevel="0" collapsed="false">
      <c r="A33" s="9" t="n">
        <v>32</v>
      </c>
      <c r="B33" s="9" t="s">
        <v>33</v>
      </c>
      <c r="C33" s="9" t="s">
        <v>64</v>
      </c>
      <c r="D33" s="9" t="s">
        <v>15</v>
      </c>
      <c r="E33" s="9" t="s">
        <v>67</v>
      </c>
      <c r="F33" s="9" t="s">
        <v>19</v>
      </c>
      <c r="G33" s="9" t="s">
        <v>0</v>
      </c>
      <c r="H33" s="9" t="n">
        <v>20</v>
      </c>
      <c r="I33" s="7" t="n">
        <f aca="false">detail_avancement!B39</f>
        <v>15</v>
      </c>
      <c r="J33" s="9" t="n">
        <v>0</v>
      </c>
      <c r="K33" s="8" t="n">
        <f aca="false">(I33/(I33+J33))</f>
        <v>1</v>
      </c>
    </row>
    <row r="34" customFormat="false" ht="12.75" hidden="false" customHeight="false" outlineLevel="0" collapsed="false">
      <c r="A34" s="9" t="n">
        <v>33</v>
      </c>
      <c r="B34" s="9" t="s">
        <v>33</v>
      </c>
      <c r="C34" s="9" t="s">
        <v>34</v>
      </c>
      <c r="D34" s="9" t="s">
        <v>35</v>
      </c>
      <c r="E34" s="9" t="s">
        <v>68</v>
      </c>
      <c r="F34" s="9" t="s">
        <v>17</v>
      </c>
      <c r="G34" s="9" t="s">
        <v>0</v>
      </c>
      <c r="H34" s="9" t="n">
        <v>20</v>
      </c>
      <c r="I34" s="7" t="n">
        <f aca="false">detail_avancement!B40</f>
        <v>15</v>
      </c>
      <c r="J34" s="9" t="n">
        <v>0</v>
      </c>
      <c r="K34" s="8" t="n">
        <f aca="false">(I34/(I34+J34))</f>
        <v>1</v>
      </c>
    </row>
    <row r="35" customFormat="false" ht="12.75" hidden="false" customHeight="false" outlineLevel="0" collapsed="false">
      <c r="A35" s="9" t="n">
        <v>34</v>
      </c>
      <c r="B35" s="9" t="s">
        <v>33</v>
      </c>
      <c r="C35" s="9" t="s">
        <v>34</v>
      </c>
      <c r="D35" s="9" t="s">
        <v>35</v>
      </c>
      <c r="E35" s="9" t="s">
        <v>69</v>
      </c>
      <c r="F35" s="9" t="s">
        <v>17</v>
      </c>
      <c r="G35" s="9" t="s">
        <v>0</v>
      </c>
      <c r="H35" s="9" t="n">
        <v>15</v>
      </c>
      <c r="I35" s="7" t="n">
        <f aca="false">detail_avancement!B41</f>
        <v>20</v>
      </c>
      <c r="J35" s="9" t="n">
        <v>0</v>
      </c>
      <c r="K35" s="8" t="n">
        <f aca="false">(I35/(I35+J35))</f>
        <v>1</v>
      </c>
    </row>
    <row r="36" customFormat="false" ht="12.75" hidden="false" customHeight="false" outlineLevel="0" collapsed="false">
      <c r="A36" s="9" t="n">
        <v>35</v>
      </c>
      <c r="B36" s="9" t="s">
        <v>33</v>
      </c>
      <c r="C36" s="9" t="s">
        <v>34</v>
      </c>
      <c r="D36" s="9" t="s">
        <v>35</v>
      </c>
      <c r="E36" s="9" t="s">
        <v>70</v>
      </c>
      <c r="F36" s="9" t="s">
        <v>19</v>
      </c>
      <c r="G36" s="9" t="s">
        <v>0</v>
      </c>
      <c r="H36" s="9" t="n">
        <v>15</v>
      </c>
      <c r="I36" s="7" t="n">
        <f aca="false">detail_avancement!B42</f>
        <v>20</v>
      </c>
      <c r="J36" s="9" t="n">
        <v>0</v>
      </c>
      <c r="K36" s="8" t="n">
        <f aca="false">(I36/(I36+J36))</f>
        <v>1</v>
      </c>
    </row>
    <row r="37" customFormat="false" ht="12.75" hidden="false" customHeight="false" outlineLevel="0" collapsed="false">
      <c r="A37" s="9" t="n">
        <v>36</v>
      </c>
      <c r="B37" s="9" t="s">
        <v>33</v>
      </c>
      <c r="C37" s="9" t="s">
        <v>71</v>
      </c>
      <c r="D37" s="9" t="s">
        <v>71</v>
      </c>
      <c r="E37" s="9" t="s">
        <v>72</v>
      </c>
      <c r="F37" s="9" t="s">
        <v>17</v>
      </c>
      <c r="G37" s="9" t="s">
        <v>0</v>
      </c>
      <c r="H37" s="9" t="n">
        <v>25</v>
      </c>
      <c r="I37" s="7" t="n">
        <f aca="false">detail_avancement!B43</f>
        <v>20</v>
      </c>
      <c r="J37" s="9" t="n">
        <v>0</v>
      </c>
      <c r="K37" s="8" t="n">
        <f aca="false">(I37/(I37+J37))</f>
        <v>1</v>
      </c>
    </row>
    <row r="38" customFormat="false" ht="12.75" hidden="false" customHeight="false" outlineLevel="0" collapsed="false">
      <c r="A38" s="9" t="n">
        <v>37</v>
      </c>
      <c r="B38" s="9" t="s">
        <v>33</v>
      </c>
      <c r="C38" s="9" t="s">
        <v>71</v>
      </c>
      <c r="D38" s="9" t="s">
        <v>71</v>
      </c>
      <c r="E38" s="9" t="s">
        <v>73</v>
      </c>
      <c r="F38" s="9" t="s">
        <v>19</v>
      </c>
      <c r="G38" s="9" t="s">
        <v>0</v>
      </c>
      <c r="H38" s="9" t="n">
        <v>20</v>
      </c>
      <c r="I38" s="7" t="n">
        <f aca="false">detail_avancement!B44</f>
        <v>15</v>
      </c>
      <c r="J38" s="9" t="n">
        <v>0</v>
      </c>
      <c r="K38" s="8" t="n">
        <f aca="false">(I38/(I38+J38))</f>
        <v>1</v>
      </c>
    </row>
    <row r="39" customFormat="false" ht="12.75" hidden="false" customHeight="false" outlineLevel="0" collapsed="false">
      <c r="A39" s="9" t="n">
        <v>38</v>
      </c>
      <c r="B39" s="9" t="s">
        <v>33</v>
      </c>
      <c r="C39" s="9" t="s">
        <v>71</v>
      </c>
      <c r="D39" s="9" t="s">
        <v>71</v>
      </c>
      <c r="E39" s="9" t="s">
        <v>74</v>
      </c>
      <c r="F39" s="9" t="s">
        <v>19</v>
      </c>
      <c r="G39" s="9" t="s">
        <v>0</v>
      </c>
      <c r="H39" s="9" t="n">
        <v>15</v>
      </c>
      <c r="I39" s="7" t="n">
        <f aca="false">detail_avancement!B45</f>
        <v>20</v>
      </c>
      <c r="J39" s="9" t="n">
        <v>0</v>
      </c>
      <c r="K39" s="8" t="n">
        <f aca="false">(I39/(I39+J39))</f>
        <v>1</v>
      </c>
    </row>
    <row r="40" customFormat="false" ht="12.75" hidden="false" customHeight="false" outlineLevel="0" collapsed="false">
      <c r="A40" s="9" t="n">
        <v>39</v>
      </c>
      <c r="B40" s="9" t="s">
        <v>33</v>
      </c>
      <c r="C40" s="9" t="s">
        <v>71</v>
      </c>
      <c r="D40" s="9" t="s">
        <v>71</v>
      </c>
      <c r="E40" s="9" t="s">
        <v>75</v>
      </c>
      <c r="F40" s="9" t="s">
        <v>19</v>
      </c>
      <c r="G40" s="9" t="s">
        <v>0</v>
      </c>
      <c r="H40" s="9" t="n">
        <v>15</v>
      </c>
      <c r="I40" s="7" t="n">
        <f aca="false">detail_avancement!B46</f>
        <v>25</v>
      </c>
      <c r="J40" s="9" t="n">
        <v>0</v>
      </c>
      <c r="K40" s="8" t="n">
        <f aca="false">(I40/(I40+J40))</f>
        <v>1</v>
      </c>
    </row>
    <row r="41" customFormat="false" ht="12.75" hidden="false" customHeight="false" outlineLevel="0" collapsed="false">
      <c r="A41" s="9" t="n">
        <v>40</v>
      </c>
      <c r="B41" s="9" t="s">
        <v>33</v>
      </c>
      <c r="C41" s="9" t="s">
        <v>71</v>
      </c>
      <c r="D41" s="9" t="s">
        <v>71</v>
      </c>
      <c r="E41" s="9" t="s">
        <v>76</v>
      </c>
      <c r="F41" s="9" t="s">
        <v>21</v>
      </c>
      <c r="G41" s="9" t="s">
        <v>0</v>
      </c>
      <c r="H41" s="9" t="n">
        <v>20</v>
      </c>
      <c r="I41" s="7" t="n">
        <f aca="false">detail_avancement!B47</f>
        <v>20</v>
      </c>
      <c r="J41" s="9" t="n">
        <v>0</v>
      </c>
      <c r="K41" s="8" t="n">
        <f aca="false">(I41/(I41+J41))</f>
        <v>1</v>
      </c>
    </row>
    <row r="42" customFormat="false" ht="12.75" hidden="false" customHeight="false" outlineLevel="0" collapsed="false">
      <c r="A42" s="9" t="n">
        <v>41</v>
      </c>
      <c r="B42" s="9" t="s">
        <v>13</v>
      </c>
      <c r="C42" s="9" t="s">
        <v>22</v>
      </c>
      <c r="D42" s="9" t="s">
        <v>23</v>
      </c>
      <c r="E42" s="9" t="s">
        <v>77</v>
      </c>
      <c r="F42" s="9" t="s">
        <v>19</v>
      </c>
      <c r="G42" s="9" t="s">
        <v>0</v>
      </c>
      <c r="H42" s="9" t="n">
        <v>20</v>
      </c>
      <c r="I42" s="7" t="n">
        <f aca="false">detail_avancement!B48</f>
        <v>30</v>
      </c>
      <c r="J42" s="9" t="n">
        <v>0</v>
      </c>
      <c r="K42" s="8" t="n">
        <f aca="false">(I42/(I42+J42))</f>
        <v>1</v>
      </c>
    </row>
    <row r="43" customFormat="false" ht="12.75" hidden="false" customHeight="false" outlineLevel="0" collapsed="false">
      <c r="A43" s="9" t="n">
        <v>42</v>
      </c>
      <c r="B43" s="9" t="s">
        <v>13</v>
      </c>
      <c r="C43" s="9" t="s">
        <v>22</v>
      </c>
      <c r="D43" s="9" t="s">
        <v>23</v>
      </c>
      <c r="E43" s="9" t="s">
        <v>78</v>
      </c>
      <c r="F43" s="9" t="s">
        <v>19</v>
      </c>
      <c r="G43" s="9" t="s">
        <v>0</v>
      </c>
      <c r="H43" s="9" t="n">
        <v>20</v>
      </c>
      <c r="I43" s="7" t="n">
        <f aca="false">detail_avancement!B49</f>
        <v>25</v>
      </c>
      <c r="J43" s="9" t="n">
        <v>0</v>
      </c>
      <c r="K43" s="8" t="n">
        <f aca="false">(I43/(I43+J43))</f>
        <v>1</v>
      </c>
    </row>
    <row r="44" customFormat="false" ht="12.75" hidden="false" customHeight="false" outlineLevel="0" collapsed="false">
      <c r="A44" s="9" t="n">
        <v>43</v>
      </c>
      <c r="B44" s="9" t="s">
        <v>13</v>
      </c>
      <c r="C44" s="9" t="s">
        <v>22</v>
      </c>
      <c r="D44" s="9" t="s">
        <v>23</v>
      </c>
      <c r="E44" s="9" t="s">
        <v>79</v>
      </c>
      <c r="F44" s="9" t="s">
        <v>19</v>
      </c>
      <c r="G44" s="9" t="s">
        <v>0</v>
      </c>
      <c r="H44" s="9" t="n">
        <v>15</v>
      </c>
      <c r="I44" s="7" t="n">
        <f aca="false">detail_avancement!B50</f>
        <v>20</v>
      </c>
      <c r="J44" s="9" t="n">
        <v>0</v>
      </c>
      <c r="K44" s="8" t="n">
        <f aca="false">(I44/(I44+J44))</f>
        <v>1</v>
      </c>
    </row>
    <row r="45" customFormat="false" ht="12.75" hidden="false" customHeight="false" outlineLevel="0" collapsed="false">
      <c r="A45" s="9" t="n">
        <v>44</v>
      </c>
      <c r="B45" s="9" t="s">
        <v>13</v>
      </c>
      <c r="C45" s="9" t="s">
        <v>22</v>
      </c>
      <c r="D45" s="9" t="s">
        <v>23</v>
      </c>
      <c r="E45" s="9" t="s">
        <v>80</v>
      </c>
      <c r="F45" s="9" t="s">
        <v>17</v>
      </c>
      <c r="G45" s="9" t="s">
        <v>0</v>
      </c>
      <c r="H45" s="9" t="n">
        <v>20</v>
      </c>
      <c r="I45" s="7" t="n">
        <f aca="false">detail_avancement!B51</f>
        <v>15</v>
      </c>
      <c r="J45" s="9" t="n">
        <v>0</v>
      </c>
      <c r="K45" s="8" t="n">
        <f aca="false">(I45/(I45+J45))</f>
        <v>1</v>
      </c>
    </row>
    <row r="46" customFormat="false" ht="12.8" hidden="false" customHeight="false" outlineLevel="0" collapsed="false">
      <c r="A46" s="0" t="n">
        <v>45</v>
      </c>
      <c r="B46" s="0" t="s">
        <v>13</v>
      </c>
      <c r="C46" s="0" t="s">
        <v>81</v>
      </c>
      <c r="D46" s="0" t="s">
        <v>82</v>
      </c>
      <c r="E46" s="0" t="s">
        <v>83</v>
      </c>
      <c r="F46" s="0" t="s">
        <v>17</v>
      </c>
      <c r="G46" s="0" t="s">
        <v>0</v>
      </c>
      <c r="H46" s="0" t="n">
        <v>25</v>
      </c>
      <c r="I46" s="7" t="n">
        <f aca="false">detail_avancement!B52</f>
        <v>15</v>
      </c>
      <c r="J46" s="0" t="n">
        <v>0</v>
      </c>
      <c r="K46" s="8" t="n">
        <f aca="false">(I46/(I46+J46))</f>
        <v>1</v>
      </c>
    </row>
    <row r="47" customFormat="false" ht="12.8" hidden="false" customHeight="false" outlineLevel="0" collapsed="false">
      <c r="A47" s="0" t="n">
        <v>46</v>
      </c>
      <c r="B47" s="0" t="s">
        <v>13</v>
      </c>
      <c r="C47" s="0" t="s">
        <v>81</v>
      </c>
      <c r="D47" s="0" t="s">
        <v>82</v>
      </c>
      <c r="E47" s="0" t="s">
        <v>84</v>
      </c>
      <c r="F47" s="0" t="s">
        <v>19</v>
      </c>
      <c r="G47" s="0" t="s">
        <v>0</v>
      </c>
      <c r="H47" s="0" t="n">
        <v>20</v>
      </c>
      <c r="I47" s="7" t="n">
        <f aca="false">detail_avancement!B53</f>
        <v>0</v>
      </c>
      <c r="J47" s="0" t="n">
        <v>0</v>
      </c>
      <c r="K47" s="8" t="e">
        <f aca="false">(I47/(I47+J47))</f>
        <v>#DIV/0!</v>
      </c>
    </row>
    <row r="48" customFormat="false" ht="12.8" hidden="false" customHeight="false" outlineLevel="0" collapsed="false">
      <c r="A48" s="0" t="n">
        <v>47</v>
      </c>
      <c r="B48" s="0" t="s">
        <v>13</v>
      </c>
      <c r="C48" s="0" t="s">
        <v>81</v>
      </c>
      <c r="D48" s="0" t="s">
        <v>82</v>
      </c>
      <c r="E48" s="0" t="s">
        <v>85</v>
      </c>
      <c r="F48" s="0" t="s">
        <v>21</v>
      </c>
      <c r="G48" s="0" t="s">
        <v>0</v>
      </c>
      <c r="H48" s="0" t="n">
        <v>30</v>
      </c>
      <c r="I48" s="7" t="n">
        <f aca="false">detail_avancement!B54</f>
        <v>0</v>
      </c>
      <c r="J48" s="0" t="n">
        <v>0</v>
      </c>
      <c r="K48" s="8" t="e">
        <f aca="false">(I48/(I48+J48))</f>
        <v>#DIV/0!</v>
      </c>
    </row>
    <row r="49" customFormat="false" ht="12.8" hidden="false" customHeight="false" outlineLevel="0" collapsed="false">
      <c r="A49" s="0" t="n">
        <v>48</v>
      </c>
      <c r="B49" s="0" t="s">
        <v>13</v>
      </c>
      <c r="C49" s="0" t="s">
        <v>81</v>
      </c>
      <c r="D49" s="0" t="s">
        <v>82</v>
      </c>
      <c r="E49" s="0" t="s">
        <v>86</v>
      </c>
      <c r="F49" s="0" t="s">
        <v>17</v>
      </c>
      <c r="G49" s="0" t="s">
        <v>0</v>
      </c>
      <c r="H49" s="0" t="n">
        <v>25</v>
      </c>
      <c r="I49" s="7" t="n">
        <f aca="false">detail_avancement!B55</f>
        <v>0</v>
      </c>
      <c r="J49" s="0" t="n">
        <v>0</v>
      </c>
      <c r="K49" s="8" t="e">
        <f aca="false">(I49/(I49+J49))</f>
        <v>#DIV/0!</v>
      </c>
    </row>
    <row r="50" customFormat="false" ht="12.8" hidden="false" customHeight="false" outlineLevel="0" collapsed="false">
      <c r="A50" s="0" t="n">
        <v>49</v>
      </c>
      <c r="B50" s="0" t="s">
        <v>13</v>
      </c>
      <c r="C50" s="0" t="s">
        <v>81</v>
      </c>
      <c r="D50" s="0" t="s">
        <v>82</v>
      </c>
      <c r="E50" s="0" t="s">
        <v>87</v>
      </c>
      <c r="F50" s="0" t="s">
        <v>19</v>
      </c>
      <c r="G50" s="0" t="s">
        <v>0</v>
      </c>
      <c r="H50" s="0" t="n">
        <v>20</v>
      </c>
      <c r="I50" s="7" t="n">
        <f aca="false">detail_avancement!B56</f>
        <v>0</v>
      </c>
      <c r="J50" s="0" t="n">
        <v>0</v>
      </c>
      <c r="K50" s="8" t="e">
        <f aca="false">(I50/(I50+J50))</f>
        <v>#DIV/0!</v>
      </c>
    </row>
    <row r="51" customFormat="false" ht="12.8" hidden="false" customHeight="false" outlineLevel="0" collapsed="false">
      <c r="A51" s="0" t="n">
        <v>50</v>
      </c>
      <c r="B51" s="0" t="s">
        <v>33</v>
      </c>
      <c r="C51" s="0" t="s">
        <v>34</v>
      </c>
      <c r="D51" s="0" t="s">
        <v>37</v>
      </c>
      <c r="E51" s="0" t="s">
        <v>88</v>
      </c>
      <c r="F51" s="0" t="s">
        <v>17</v>
      </c>
      <c r="G51" s="0" t="s">
        <v>0</v>
      </c>
      <c r="H51" s="0" t="n">
        <v>15</v>
      </c>
      <c r="I51" s="7" t="n">
        <f aca="false">detail_avancement!B57</f>
        <v>0</v>
      </c>
      <c r="J51" s="0" t="n">
        <v>0</v>
      </c>
      <c r="K51" s="8" t="e">
        <f aca="false">(I51/(I51+J51))</f>
        <v>#DIV/0!</v>
      </c>
    </row>
    <row r="52" customFormat="false" ht="12.8" hidden="false" customHeight="false" outlineLevel="0" collapsed="false">
      <c r="A52" s="0" t="n">
        <v>51</v>
      </c>
      <c r="B52" s="0" t="s">
        <v>33</v>
      </c>
      <c r="C52" s="0" t="s">
        <v>34</v>
      </c>
      <c r="D52" s="0" t="s">
        <v>37</v>
      </c>
      <c r="E52" s="0" t="s">
        <v>89</v>
      </c>
      <c r="F52" s="0" t="s">
        <v>21</v>
      </c>
      <c r="G52" s="0" t="s">
        <v>0</v>
      </c>
      <c r="H52" s="0" t="n">
        <v>15</v>
      </c>
      <c r="I52" s="7" t="n">
        <f aca="false">detail_avancement!B58</f>
        <v>0</v>
      </c>
      <c r="J52" s="0" t="n">
        <v>0</v>
      </c>
      <c r="K52" s="8" t="e">
        <f aca="false">(I52/(I52+J52))</f>
        <v>#DIV/0!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12.66796875" defaultRowHeight="12.8" zeroHeight="false" outlineLevelRow="0" outlineLevelCol="0"/>
  <sheetData>
    <row r="1" customFormat="false" ht="15.75" hidden="false" customHeight="true" outlineLevel="0" collapsed="false">
      <c r="A1" s="10"/>
      <c r="B1" s="11" t="s">
        <v>90</v>
      </c>
      <c r="C1" s="12"/>
      <c r="D1" s="13"/>
    </row>
    <row r="2" customFormat="false" ht="12.75" hidden="false" customHeight="false" outlineLevel="0" collapsed="false">
      <c r="A2" s="14" t="s">
        <v>8</v>
      </c>
      <c r="B2" s="15" t="s">
        <v>91</v>
      </c>
      <c r="C2" s="16" t="s">
        <v>92</v>
      </c>
      <c r="D2" s="17" t="s">
        <v>93</v>
      </c>
    </row>
    <row r="3" customFormat="false" ht="15.75" hidden="false" customHeight="true" outlineLevel="0" collapsed="false">
      <c r="A3" s="18" t="s">
        <v>94</v>
      </c>
      <c r="B3" s="19"/>
      <c r="C3" s="20"/>
      <c r="D3" s="21"/>
    </row>
    <row r="4" customFormat="false" ht="15.75" hidden="false" customHeight="true" outlineLevel="0" collapsed="false">
      <c r="A4" s="22" t="s">
        <v>0</v>
      </c>
      <c r="B4" s="23" t="n">
        <v>1260</v>
      </c>
      <c r="C4" s="24" t="n">
        <v>1045</v>
      </c>
      <c r="D4" s="25" t="n">
        <v>0</v>
      </c>
    </row>
    <row r="5" customFormat="false" ht="15.75" hidden="false" customHeight="true" outlineLevel="0" collapsed="false">
      <c r="A5" s="26" t="s">
        <v>95</v>
      </c>
      <c r="B5" s="27" t="n">
        <v>1260</v>
      </c>
      <c r="C5" s="28" t="n">
        <v>1045</v>
      </c>
      <c r="D5" s="29" t="n">
        <v>0</v>
      </c>
    </row>
    <row r="6" customFormat="false" ht="12.75" hidden="false" customHeight="false" outlineLevel="0" collapsed="false"/>
    <row r="7" customFormat="false" ht="12.75" hidden="false" customHeight="false" outlineLevel="0" collapsed="false"/>
    <row r="8" customFormat="false" ht="12.75" hidden="false" customHeight="false" outlineLevel="0" collapsed="false"/>
    <row r="9" customFormat="false" ht="12.75" hidden="false" customHeight="false" outlineLevel="0" collapsed="false"/>
    <row r="10" customFormat="false" ht="12.75" hidden="false" customHeight="false" outlineLevel="0" collapsed="false"/>
    <row r="11" customFormat="false" ht="12.75" hidden="false" customHeight="false" outlineLevel="0" collapsed="false"/>
    <row r="12" customFormat="false" ht="13.5" hidden="false" customHeight="false" outlineLevel="0" collapsed="false">
      <c r="A12" s="30" t="s">
        <v>12</v>
      </c>
      <c r="B12" s="31" t="n">
        <f aca="false">avancement!D2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2.66796875" defaultRowHeight="12.8" zeroHeight="false" outlineLevelRow="0" outlineLevelCol="0"/>
  <cols>
    <col collapsed="false" customWidth="true" hidden="false" outlineLevel="0" max="1" min="1" style="0" width="15.78"/>
    <col collapsed="false" customWidth="true" hidden="false" outlineLevel="0" max="2" min="2" style="0" width="17.88"/>
    <col collapsed="false" customWidth="true" hidden="false" outlineLevel="0" max="3" min="3" style="0" width="17"/>
    <col collapsed="false" customWidth="true" hidden="false" outlineLevel="0" max="4" min="4" style="0" width="18.22"/>
    <col collapsed="false" customWidth="true" hidden="false" outlineLevel="0" max="5" min="5" style="0" width="13.77"/>
  </cols>
  <sheetData>
    <row r="1" customFormat="false" ht="15" hidden="false" customHeight="false" outlineLevel="0" collapsed="false">
      <c r="A1" s="32" t="s">
        <v>96</v>
      </c>
      <c r="B1" s="32" t="s">
        <v>97</v>
      </c>
      <c r="C1" s="32" t="s">
        <v>98</v>
      </c>
      <c r="D1" s="32" t="s">
        <v>99</v>
      </c>
      <c r="E1" s="32" t="s">
        <v>100</v>
      </c>
    </row>
    <row r="2" customFormat="false" ht="15" hidden="false" customHeight="false" outlineLevel="0" collapsed="false">
      <c r="A2" s="33" t="n">
        <f aca="false">SUM('liste des taches'!H2:H45)</f>
        <v>1110</v>
      </c>
      <c r="B2" s="33" t="n">
        <f aca="false">SUM('liste des taches'!I2:I45)</f>
        <v>1030</v>
      </c>
      <c r="C2" s="33" t="n">
        <f aca="false">SUM('liste des taches'!J2:J45)</f>
        <v>0</v>
      </c>
      <c r="D2" s="34" t="n">
        <f aca="false">IF((B2+C2)=0,0,B2/(B2+C2))</f>
        <v>1</v>
      </c>
      <c r="E2" s="35" t="n">
        <f aca="false">IF(B2=0,0,B2/A2)</f>
        <v>0.927927927927928</v>
      </c>
    </row>
    <row r="3" customFormat="false" ht="15" hidden="false" customHeight="false" outlineLevel="0" collapsed="false">
      <c r="A3" s="36"/>
      <c r="B3" s="36"/>
      <c r="C3" s="33" t="n">
        <f aca="false">C2/60</f>
        <v>0</v>
      </c>
      <c r="D3" s="36" t="s">
        <v>101</v>
      </c>
      <c r="E3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M8" activeCellId="0" sqref="M8"/>
    </sheetView>
  </sheetViews>
  <sheetFormatPr defaultColWidth="12.66796875" defaultRowHeight="12.8" zeroHeight="false" outlineLevelRow="0" outlineLevelCol="0"/>
  <sheetData>
    <row r="1" customFormat="false" ht="15" hidden="false" customHeight="false" outlineLevel="0" collapsed="false">
      <c r="A1" s="37" t="s">
        <v>2</v>
      </c>
      <c r="B1" s="38" t="s">
        <v>102</v>
      </c>
      <c r="C1" s="39" t="n">
        <v>46153</v>
      </c>
      <c r="D1" s="39" t="n">
        <v>46154</v>
      </c>
      <c r="E1" s="39" t="n">
        <v>46155</v>
      </c>
      <c r="F1" s="39" t="n">
        <v>46156</v>
      </c>
      <c r="G1" s="39" t="n">
        <v>46157</v>
      </c>
      <c r="H1" s="39" t="n">
        <v>46158</v>
      </c>
      <c r="I1" s="39" t="n">
        <v>46159</v>
      </c>
    </row>
    <row r="2" customFormat="false" ht="15" hidden="false" customHeight="false" outlineLevel="0" collapsed="false">
      <c r="A2" s="40" t="n">
        <v>1</v>
      </c>
      <c r="B2" s="33" t="n">
        <f aca="false">SUM(C2:I2)</f>
        <v>30</v>
      </c>
      <c r="C2" s="36" t="n">
        <v>30</v>
      </c>
      <c r="D2" s="40"/>
      <c r="E2" s="36"/>
    </row>
    <row r="3" customFormat="false" ht="15" hidden="false" customHeight="false" outlineLevel="0" collapsed="false">
      <c r="A3" s="40" t="n">
        <v>2</v>
      </c>
      <c r="B3" s="33" t="n">
        <f aca="false">SUM(C3:I3)</f>
        <v>45</v>
      </c>
      <c r="C3" s="36" t="n">
        <v>45</v>
      </c>
      <c r="D3" s="36"/>
      <c r="E3" s="36"/>
    </row>
    <row r="4" customFormat="false" ht="15" hidden="false" customHeight="false" outlineLevel="0" collapsed="false">
      <c r="A4" s="40" t="n">
        <v>3</v>
      </c>
      <c r="B4" s="33" t="n">
        <f aca="false">SUM(C4:I4)</f>
        <v>30</v>
      </c>
      <c r="C4" s="40" t="n">
        <v>30</v>
      </c>
      <c r="D4" s="40"/>
      <c r="E4" s="36"/>
    </row>
    <row r="5" customFormat="false" ht="15" hidden="false" customHeight="false" outlineLevel="0" collapsed="false">
      <c r="A5" s="40" t="n">
        <v>4</v>
      </c>
      <c r="B5" s="33" t="n">
        <f aca="false">SUM(C5:I5)</f>
        <v>20</v>
      </c>
      <c r="C5" s="36" t="n">
        <v>20</v>
      </c>
      <c r="D5" s="36"/>
      <c r="E5" s="36"/>
    </row>
    <row r="6" customFormat="false" ht="15" hidden="false" customHeight="false" outlineLevel="0" collapsed="false">
      <c r="A6" s="40" t="n">
        <v>5</v>
      </c>
      <c r="B6" s="33" t="n">
        <f aca="false">SUM(C6:I6)</f>
        <v>60</v>
      </c>
      <c r="C6" s="36" t="n">
        <v>60</v>
      </c>
      <c r="D6" s="41"/>
      <c r="E6" s="36"/>
    </row>
    <row r="7" customFormat="false" ht="15" hidden="false" customHeight="false" outlineLevel="0" collapsed="false">
      <c r="A7" s="40" t="n">
        <v>6</v>
      </c>
      <c r="B7" s="33" t="n">
        <f aca="false">SUM(C7:I7)</f>
        <v>30</v>
      </c>
      <c r="C7" s="36" t="n">
        <v>30</v>
      </c>
      <c r="D7" s="36"/>
      <c r="E7" s="36"/>
    </row>
    <row r="8" customFormat="false" ht="15" hidden="false" customHeight="false" outlineLevel="0" collapsed="false">
      <c r="A8" s="40" t="n">
        <v>7</v>
      </c>
      <c r="B8" s="33" t="n">
        <f aca="false">SUM(C8:I8)</f>
        <v>45</v>
      </c>
      <c r="C8" s="36" t="n">
        <v>45</v>
      </c>
      <c r="D8" s="41"/>
      <c r="E8" s="36"/>
    </row>
    <row r="9" customFormat="false" ht="15" hidden="false" customHeight="false" outlineLevel="0" collapsed="false">
      <c r="A9" s="1" t="n">
        <v>8</v>
      </c>
      <c r="B9" s="33" t="n">
        <f aca="false">SUM(C9:I9)</f>
        <v>25</v>
      </c>
      <c r="C9" s="0" t="n">
        <v>25</v>
      </c>
      <c r="D9" s="1"/>
    </row>
    <row r="10" customFormat="false" ht="15" hidden="false" customHeight="false" outlineLevel="0" collapsed="false">
      <c r="A10" s="1" t="n">
        <v>9</v>
      </c>
      <c r="B10" s="33" t="n">
        <f aca="false">SUM(C10:I10)</f>
        <v>30</v>
      </c>
      <c r="C10" s="0" t="n">
        <v>30</v>
      </c>
    </row>
    <row r="11" customFormat="false" ht="12.75" hidden="false" customHeight="false" outlineLevel="0" collapsed="false">
      <c r="A11" s="0" t="n">
        <v>10</v>
      </c>
      <c r="B11" s="0" t="n">
        <f aca="false">SUM(C11:I11)</f>
        <v>20</v>
      </c>
      <c r="C11" s="0" t="n">
        <v>20</v>
      </c>
    </row>
    <row r="12" customFormat="false" ht="12.75" hidden="false" customHeight="false" outlineLevel="0" collapsed="false">
      <c r="A12" s="0" t="n">
        <v>11</v>
      </c>
      <c r="B12" s="0" t="n">
        <f aca="false">SUM(C12:I12)</f>
        <v>30</v>
      </c>
      <c r="D12" s="0" t="n">
        <v>30</v>
      </c>
    </row>
    <row r="13" customFormat="false" ht="12.75" hidden="false" customHeight="false" outlineLevel="0" collapsed="false">
      <c r="A13" s="0" t="n">
        <v>12</v>
      </c>
      <c r="B13" s="0" t="n">
        <f aca="false">SUM(C13:I13)</f>
        <v>25</v>
      </c>
      <c r="D13" s="0" t="n">
        <v>25</v>
      </c>
    </row>
    <row r="14" customFormat="false" ht="12.75" hidden="false" customHeight="false" outlineLevel="0" collapsed="false">
      <c r="A14" s="0" t="n">
        <v>13</v>
      </c>
      <c r="B14" s="0" t="n">
        <f aca="false">SUM(C14:I14)</f>
        <v>30</v>
      </c>
      <c r="D14" s="0" t="n">
        <v>30</v>
      </c>
    </row>
    <row r="15" customFormat="false" ht="12.75" hidden="false" customHeight="false" outlineLevel="0" collapsed="false">
      <c r="A15" s="0" t="n">
        <v>14</v>
      </c>
      <c r="B15" s="0" t="n">
        <f aca="false">SUM(C15:I15)</f>
        <v>35</v>
      </c>
      <c r="D15" s="0" t="n">
        <v>35</v>
      </c>
    </row>
    <row r="16" customFormat="false" ht="12.75" hidden="false" customHeight="false" outlineLevel="0" collapsed="false">
      <c r="A16" s="0" t="n">
        <v>15</v>
      </c>
      <c r="B16" s="0" t="n">
        <f aca="false">SUM(C16:I16)</f>
        <v>25</v>
      </c>
      <c r="D16" s="0" t="n">
        <v>25</v>
      </c>
    </row>
    <row r="17" customFormat="false" ht="12.75" hidden="false" customHeight="false" outlineLevel="0" collapsed="false">
      <c r="A17" s="0" t="n">
        <v>16</v>
      </c>
      <c r="B17" s="0" t="n">
        <f aca="false">SUM(C17:I17)</f>
        <v>25</v>
      </c>
      <c r="D17" s="0" t="n">
        <v>25</v>
      </c>
    </row>
    <row r="18" customFormat="false" ht="12.75" hidden="false" customHeight="false" outlineLevel="0" collapsed="false">
      <c r="A18" s="0" t="n">
        <v>17</v>
      </c>
      <c r="B18" s="0" t="n">
        <f aca="false">SUM(C18:I18)</f>
        <v>15</v>
      </c>
      <c r="D18" s="0" t="n">
        <v>15</v>
      </c>
    </row>
    <row r="19" customFormat="false" ht="12.75" hidden="false" customHeight="false" outlineLevel="0" collapsed="false">
      <c r="A19" s="0" t="n">
        <v>18</v>
      </c>
      <c r="B19" s="0" t="n">
        <f aca="false">SUM(C19:I19)</f>
        <v>30</v>
      </c>
      <c r="D19" s="0" t="n">
        <v>30</v>
      </c>
    </row>
    <row r="20" customFormat="false" ht="12.75" hidden="false" customHeight="false" outlineLevel="0" collapsed="false">
      <c r="A20" s="0" t="n">
        <v>19</v>
      </c>
      <c r="B20" s="0" t="n">
        <f aca="false">SUM(C20:I20)</f>
        <v>20</v>
      </c>
      <c r="D20" s="0" t="n">
        <v>20</v>
      </c>
    </row>
    <row r="21" customFormat="false" ht="12.75" hidden="false" customHeight="false" outlineLevel="0" collapsed="false">
      <c r="A21" s="0" t="n">
        <v>20</v>
      </c>
      <c r="B21" s="0" t="n">
        <f aca="false">SUM(C21:I21)</f>
        <v>20</v>
      </c>
      <c r="D21" s="0" t="n">
        <v>20</v>
      </c>
    </row>
    <row r="22" customFormat="false" ht="12.75" hidden="false" customHeight="false" outlineLevel="0" collapsed="false">
      <c r="A22" s="0" t="n">
        <v>21</v>
      </c>
      <c r="B22" s="0" t="n">
        <f aca="false">SUM(C22:I22)</f>
        <v>30</v>
      </c>
      <c r="D22" s="0" t="n">
        <v>30</v>
      </c>
    </row>
    <row r="23" customFormat="false" ht="12.75" hidden="false" customHeight="false" outlineLevel="0" collapsed="false">
      <c r="A23" s="0" t="n">
        <v>22</v>
      </c>
      <c r="B23" s="0" t="n">
        <f aca="false">SUM(C23:I23)</f>
        <v>25</v>
      </c>
      <c r="D23" s="0" t="n">
        <v>25</v>
      </c>
    </row>
    <row r="24" customFormat="false" ht="12.75" hidden="false" customHeight="false" outlineLevel="0" collapsed="false">
      <c r="A24" s="0" t="n">
        <v>23</v>
      </c>
      <c r="B24" s="0" t="n">
        <f aca="false">SUM(C24:I24)</f>
        <v>20</v>
      </c>
      <c r="E24" s="0" t="n">
        <v>20</v>
      </c>
    </row>
    <row r="25" customFormat="false" ht="12.75" hidden="false" customHeight="false" outlineLevel="0" collapsed="false">
      <c r="A25" s="0" t="n">
        <v>24</v>
      </c>
      <c r="B25" s="0" t="n">
        <f aca="false">SUM(C25:I25)</f>
        <v>25</v>
      </c>
      <c r="E25" s="0" t="n">
        <v>25</v>
      </c>
    </row>
    <row r="26" customFormat="false" ht="12.75" hidden="false" customHeight="false" outlineLevel="0" collapsed="false">
      <c r="A26" s="0" t="n">
        <v>25</v>
      </c>
      <c r="B26" s="0" t="n">
        <f aca="false">SUM(C26:I26)</f>
        <v>30</v>
      </c>
      <c r="E26" s="0" t="n">
        <v>30</v>
      </c>
    </row>
    <row r="27" customFormat="false" ht="12.75" hidden="false" customHeight="false" outlineLevel="0" collapsed="false">
      <c r="A27" s="0" t="n">
        <v>26</v>
      </c>
      <c r="B27" s="0" t="n">
        <f aca="false">SUM(C27:I27)</f>
        <v>20</v>
      </c>
      <c r="E27" s="0" t="n">
        <v>20</v>
      </c>
    </row>
    <row r="28" customFormat="false" ht="12.75" hidden="false" customHeight="false" outlineLevel="0" collapsed="false">
      <c r="A28" s="0" t="n">
        <v>27</v>
      </c>
      <c r="B28" s="0" t="n">
        <f aca="false">SUM(C28:I28)</f>
        <v>20</v>
      </c>
      <c r="E28" s="0" t="n">
        <v>20</v>
      </c>
    </row>
    <row r="29" customFormat="false" ht="12.75" hidden="false" customHeight="false" outlineLevel="0" collapsed="false">
      <c r="A29" s="0" t="n">
        <v>28</v>
      </c>
      <c r="B29" s="0" t="n">
        <f aca="false">SUM(C29:I29)</f>
        <v>35</v>
      </c>
      <c r="E29" s="0" t="n">
        <v>35</v>
      </c>
    </row>
    <row r="30" customFormat="false" ht="12.75" hidden="false" customHeight="false" outlineLevel="0" collapsed="false">
      <c r="A30" s="0" t="n">
        <v>29</v>
      </c>
      <c r="B30" s="0" t="n">
        <f aca="false">SUM(C30:I30)</f>
        <v>30</v>
      </c>
      <c r="E30" s="0" t="n">
        <v>30</v>
      </c>
    </row>
    <row r="31" customFormat="false" ht="12.75" hidden="false" customHeight="false" outlineLevel="0" collapsed="false">
      <c r="A31" s="0" t="n">
        <v>30</v>
      </c>
      <c r="B31" s="0" t="n">
        <f aca="false">SUM(C31:I31)</f>
        <v>30</v>
      </c>
      <c r="F31" s="0" t="n">
        <v>30</v>
      </c>
    </row>
    <row r="32" customFormat="false" ht="12.75" hidden="false" customHeight="false" outlineLevel="0" collapsed="false">
      <c r="A32" s="0" t="n">
        <v>31</v>
      </c>
      <c r="B32" s="0" t="n">
        <f aca="false">SUM(C32:I32)</f>
        <v>15</v>
      </c>
      <c r="F32" s="0" t="n">
        <v>15</v>
      </c>
    </row>
    <row r="33" customFormat="false" ht="12.75" hidden="false" customHeight="false" outlineLevel="0" collapsed="false">
      <c r="A33" s="0" t="n">
        <v>32</v>
      </c>
      <c r="B33" s="0" t="n">
        <f aca="false">SUM(C33:I33)</f>
        <v>20</v>
      </c>
      <c r="F33" s="0" t="n">
        <v>20</v>
      </c>
    </row>
    <row r="34" customFormat="false" ht="12.75" hidden="false" customHeight="false" outlineLevel="0" collapsed="false">
      <c r="A34" s="0" t="n">
        <v>33</v>
      </c>
      <c r="B34" s="0" t="n">
        <f aca="false">SUM(C34:I34)</f>
        <v>20</v>
      </c>
      <c r="F34" s="0" t="n">
        <v>20</v>
      </c>
    </row>
    <row r="35" customFormat="false" ht="12.75" hidden="false" customHeight="false" outlineLevel="0" collapsed="false">
      <c r="A35" s="0" t="n">
        <v>34</v>
      </c>
      <c r="B35" s="0" t="n">
        <f aca="false">SUM(C35:I35)</f>
        <v>15</v>
      </c>
      <c r="F35" s="0" t="n">
        <v>15</v>
      </c>
    </row>
    <row r="36" customFormat="false" ht="12.75" hidden="false" customHeight="false" outlineLevel="0" collapsed="false">
      <c r="A36" s="0" t="n">
        <v>35</v>
      </c>
      <c r="B36" s="0" t="n">
        <f aca="false">SUM(C36:I36)</f>
        <v>15</v>
      </c>
      <c r="F36" s="0" t="n">
        <v>15</v>
      </c>
    </row>
    <row r="37" customFormat="false" ht="12.75" hidden="false" customHeight="false" outlineLevel="0" collapsed="false">
      <c r="A37" s="0" t="n">
        <v>36</v>
      </c>
      <c r="B37" s="0" t="n">
        <f aca="false">SUM(C37:I37)</f>
        <v>25</v>
      </c>
      <c r="F37" s="0" t="n">
        <v>25</v>
      </c>
    </row>
    <row r="38" customFormat="false" ht="12.75" hidden="false" customHeight="false" outlineLevel="0" collapsed="false">
      <c r="A38" s="0" t="n">
        <v>37</v>
      </c>
      <c r="B38" s="0" t="n">
        <f aca="false">SUM(C38:I38)</f>
        <v>20</v>
      </c>
      <c r="F38" s="0" t="n">
        <v>20</v>
      </c>
    </row>
    <row r="39" customFormat="false" ht="12.75" hidden="false" customHeight="false" outlineLevel="0" collapsed="false">
      <c r="A39" s="0" t="n">
        <v>38</v>
      </c>
      <c r="B39" s="0" t="n">
        <f aca="false">SUM(C39:I39)</f>
        <v>15</v>
      </c>
      <c r="F39" s="0" t="n">
        <v>15</v>
      </c>
    </row>
    <row r="40" customFormat="false" ht="12.75" hidden="false" customHeight="false" outlineLevel="0" collapsed="false">
      <c r="A40" s="0" t="n">
        <v>39</v>
      </c>
      <c r="B40" s="0" t="n">
        <f aca="false">SUM(C40:I40)</f>
        <v>15</v>
      </c>
      <c r="F40" s="0" t="n">
        <v>15</v>
      </c>
    </row>
    <row r="41" customFormat="false" ht="12.75" hidden="false" customHeight="false" outlineLevel="0" collapsed="false">
      <c r="A41" s="0" t="n">
        <v>40</v>
      </c>
      <c r="B41" s="0" t="n">
        <f aca="false">SUM(C41:I41)</f>
        <v>20</v>
      </c>
      <c r="F41" s="0" t="n">
        <v>20</v>
      </c>
    </row>
    <row r="42" customFormat="false" ht="12.75" hidden="false" customHeight="false" outlineLevel="0" collapsed="false">
      <c r="A42" s="0" t="n">
        <v>41</v>
      </c>
      <c r="B42" s="0" t="n">
        <f aca="false">SUM(C42:I42)</f>
        <v>20</v>
      </c>
      <c r="G42" s="0" t="n">
        <v>20</v>
      </c>
    </row>
    <row r="43" customFormat="false" ht="12.75" hidden="false" customHeight="false" outlineLevel="0" collapsed="false">
      <c r="A43" s="0" t="n">
        <v>42</v>
      </c>
      <c r="B43" s="0" t="n">
        <f aca="false">SUM(C43:I43)</f>
        <v>20</v>
      </c>
      <c r="G43" s="0" t="n">
        <v>20</v>
      </c>
    </row>
    <row r="44" customFormat="false" ht="12.75" hidden="false" customHeight="false" outlineLevel="0" collapsed="false">
      <c r="A44" s="0" t="n">
        <v>43</v>
      </c>
      <c r="B44" s="0" t="n">
        <f aca="false">SUM(C44:I44)</f>
        <v>15</v>
      </c>
      <c r="G44" s="0" t="n">
        <v>15</v>
      </c>
    </row>
    <row r="45" customFormat="false" ht="12.75" hidden="false" customHeight="false" outlineLevel="0" collapsed="false">
      <c r="A45" s="0" t="n">
        <v>44</v>
      </c>
      <c r="B45" s="0" t="n">
        <f aca="false">SUM(C45:I45)</f>
        <v>20</v>
      </c>
      <c r="G45" s="0" t="n">
        <v>20</v>
      </c>
    </row>
    <row r="46" customFormat="false" ht="12.75" hidden="false" customHeight="false" outlineLevel="0" collapsed="false">
      <c r="A46" s="0" t="n">
        <v>45</v>
      </c>
      <c r="B46" s="0" t="n">
        <f aca="false">SUM(C46:I46)</f>
        <v>25</v>
      </c>
      <c r="G46" s="0" t="n">
        <v>25</v>
      </c>
    </row>
    <row r="47" customFormat="false" ht="12.75" hidden="false" customHeight="false" outlineLevel="0" collapsed="false">
      <c r="A47" s="0" t="n">
        <v>46</v>
      </c>
      <c r="B47" s="0" t="n">
        <f aca="false">SUM(C47:I47)</f>
        <v>20</v>
      </c>
      <c r="H47" s="0" t="n">
        <v>20</v>
      </c>
    </row>
    <row r="48" customFormat="false" ht="12.75" hidden="false" customHeight="false" outlineLevel="0" collapsed="false">
      <c r="A48" s="0" t="n">
        <v>47</v>
      </c>
      <c r="B48" s="0" t="n">
        <f aca="false">SUM(C48:I48)</f>
        <v>30</v>
      </c>
      <c r="H48" s="0" t="n">
        <v>30</v>
      </c>
    </row>
    <row r="49" customFormat="false" ht="12.75" hidden="false" customHeight="false" outlineLevel="0" collapsed="false">
      <c r="A49" s="0" t="n">
        <v>48</v>
      </c>
      <c r="B49" s="0" t="n">
        <f aca="false">SUM(C49:I49)</f>
        <v>25</v>
      </c>
      <c r="H49" s="0" t="n">
        <v>25</v>
      </c>
    </row>
    <row r="50" customFormat="false" ht="12.75" hidden="false" customHeight="false" outlineLevel="0" collapsed="false">
      <c r="A50" s="0" t="n">
        <v>49</v>
      </c>
      <c r="B50" s="0" t="n">
        <f aca="false">SUM(C50:I50)</f>
        <v>20</v>
      </c>
      <c r="H50" s="0" t="n">
        <v>20</v>
      </c>
    </row>
    <row r="51" customFormat="false" ht="12.75" hidden="false" customHeight="false" outlineLevel="0" collapsed="false">
      <c r="A51" s="0" t="n">
        <v>50</v>
      </c>
      <c r="B51" s="0" t="n">
        <f aca="false">SUM(C51:I51)</f>
        <v>15</v>
      </c>
      <c r="I51" s="0" t="n">
        <v>15</v>
      </c>
    </row>
    <row r="52" customFormat="false" ht="12.75" hidden="false" customHeight="false" outlineLevel="0" collapsed="false">
      <c r="A52" s="0" t="n">
        <v>51</v>
      </c>
      <c r="B52" s="0" t="n">
        <f aca="false">SUM(C52:I52)</f>
        <v>15</v>
      </c>
      <c r="I52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2026-05-16T17:59:24Z</dcterms:created>
  <dc:creator>openpyxl</dc:creator>
  <dc:description/>
  <dc:language>en-US</dc:language>
  <cp:lastModifiedBy/>
  <dcterms:modified xsi:type="dcterms:W3CDTF">2026-05-18T00:49:03Z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