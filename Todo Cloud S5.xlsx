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roupe" sheetId="1" state="visible" r:id="rId3"/>
    <sheet name="liste des taches" sheetId="2" state="visible" r:id="rId4"/>
    <sheet name="Recap" sheetId="3" state="visible" r:id="rId5"/>
    <sheet name="avancement" sheetId="4" state="visible" r:id="rId6"/>
    <sheet name="detail_avancement" sheetId="5" state="visible" r:id="rId7"/>
  </sheet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<sst xmlns="http://schemas.openxmlformats.org/spreadsheetml/2006/main" count="76" uniqueCount="46">
  <si>
    <t xml:space="preserve">ETU003240</t>
  </si>
  <si>
    <t xml:space="preserve">Ligne</t>
  </si>
  <si>
    <t xml:space="preserve">Catégorie</t>
  </si>
  <si>
    <t xml:space="preserve">Module</t>
  </si>
  <si>
    <t xml:space="preserve">Page</t>
  </si>
  <si>
    <t xml:space="preserve">Description tâche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</si>
  <si>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</si>
  <si>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</si>
  <si>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</si>
  <si>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</si>
  <si>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</si>
  <si>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Backoffice</t>
  </si>
  <si>
    <t xml:space="preserve">Gestion Login</t>
  </si>
  <si>
    <t xml:space="preserve">Index</t>
  </si>
  <si>
    <t xml:space="preserve">Création html</t>
  </si>
  <si>
    <t xml:space="preserve">Affichage</t>
  </si>
  <si>
    <t xml:space="preserve">Design css</t>
  </si>
  <si>
    <t xml:space="preserve">Metier</t>
  </si>
  <si>
    <t xml:space="preserve">checkLogin</t>
  </si>
  <si>
    <t xml:space="preserve">Integration</t>
  </si>
  <si>
    <t xml:space="preserve">Gestion Categorie</t>
  </si>
  <si>
    <t xml:space="preserve">Categorie</t>
  </si>
  <si>
    <t xml:space="preserve">table login</t>
  </si>
  <si>
    <t xml:space="preserve">données test</t>
  </si>
  <si>
    <t xml:space="preserve">Liste</t>
  </si>
  <si>
    <t xml:space="preserve">Categorie-add</t>
  </si>
  <si>
    <t xml:space="preserve">Ajout</t>
  </si>
  <si>
    <t xml:space="preserve">Base</t>
  </si>
  <si>
    <t xml:space="preserve">Data</t>
  </si>
  <si>
    <t xml:space="preserve">Qui</t>
  </si>
  <si>
    <t xml:space="preserve">SUM of Estimation</t>
  </si>
  <si>
    <t xml:space="preserve">SUM of Temps passé</t>
  </si>
  <si>
    <t xml:space="preserve">SUM of Reste à faire</t>
  </si>
  <si>
    <t xml:space="preserve">ETU00WWWW</t>
  </si>
  <si>
    <t xml:space="preserve">ETU00XXXX</t>
  </si>
  <si>
    <t xml:space="preserve">ETU00YYYY</t>
  </si>
  <si>
    <t xml:space="preserve">ETU00ZZZZ</t>
  </si>
  <si>
    <t xml:space="preserve">(empty)</t>
  </si>
  <si>
    <t xml:space="preserve">Total Result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</si>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</sst>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%"/>
    <numFmt numFmtId="167" formatCode="0%"/>
    <numFmt numFmtId="168" formatCode="d/m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Times New Roman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E599"/>
        <bgColor rgb="FFFFFF99"/>
      </patternFill>
    </fill>
    <fill>
      <patternFill patternType="solid">
        <fgColor rgb="FF95DCF7"/>
        <bgColor rgb="FFC9DAF8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9" createdVersion="3">
  <cacheSource type="worksheet">
    <worksheetSource ref="B1:J993" sheet="liste des taches"/>
  </cacheSource>
  <cacheFields count="9">
    <cacheField name="Catégorie" numFmtId="0">
      <sharedItems containsBlank="1" count="2">
        <s v="Backoffice"/>
        <m/>
      </sharedItems>
    </cacheField>
    <cacheField name="Module" numFmtId="0">
      <sharedItems containsBlank="1" count="3">
        <s v="Gestion Categorie"/>
        <s v="Gestion Login"/>
        <m/>
      </sharedItems>
    </cacheField>
    <cacheField name="Page" numFmtId="0">
      <sharedItems containsBlank="1" count="4">
        <s v="Categorie"/>
        <s v="Categorie-add"/>
        <s v="Index"/>
        <m/>
      </sharedItems>
    </cacheField>
    <cacheField name="Description tâche" numFmtId="0">
      <sharedItems containsBlank="1" count="8">
        <s v="Ajout"/>
        <s v="checkLogin"/>
        <s v="Création html"/>
        <s v="Design css"/>
        <s v="données test"/>
        <s v="Liste"/>
        <s v="table login"/>
        <m/>
      </sharedItems>
    </cacheField>
    <cacheField name="Type" numFmtId="0">
      <sharedItems containsBlank="1" count="5">
        <s v="Affichage"/>
        <s v="Base"/>
        <s v="Integration"/>
        <s v="Metier"/>
        <m/>
      </sharedItems>
    </cacheField>
    <cacheField name="Estimation" numFmtId="0">
      <sharedItems containsString="0" containsBlank="1" containsNumber="1" containsInteger="1" minValue="5" maxValue="50" count="7">
        <n v="5"/>
        <n v="10"/>
        <n v="20"/>
        <n v="25"/>
        <n v="30"/>
        <n v="50"/>
        <m/>
      </sharedItems>
    </cacheField>
    <cacheField name="Temps passé" numFmtId="0">
      <sharedItems containsString="0" containsBlank="1" containsNumber="1" containsInteger="1" minValue="0" maxValue="90" count="6">
        <n v="0"/>
        <n v="10"/>
        <n v="20"/>
        <n v="30"/>
        <n v="90"/>
        <m/>
      </sharedItems>
    </cacheField>
    <cacheField name="Reste à faire" numFmtId="0">
      <sharedItems containsString="0" containsBlank="1" containsNumber="1" containsInteger="1" minValue="0" maxValue="40" count="7">
        <n v="0"/>
        <n v="5"/>
        <n v="10"/>
        <n v="20"/>
        <n v="25"/>
        <n v="40"/>
        <m/>
      </sharedItems>
    </cacheField>
    <cacheField name="Avancement" numFmtId="0">
      <sharedItems containsString="0" containsBlank="1" containsNumber="1" minValue="0" maxValue="1" count="6">
        <n v="0"/>
        <n v="0.2"/>
        <n v="0.333333333333333"/>
        <n v="0.666666666666667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1"/>
    <x v="2"/>
    <x v="2"/>
    <x v="0"/>
    <x v="4"/>
    <x v="2"/>
    <x v="2"/>
    <x v="3"/>
  </r>
  <r>
    <x v="0"/>
    <x v="1"/>
    <x v="2"/>
    <x v="3"/>
    <x v="3"/>
    <x v="2"/>
    <x v="0"/>
    <x v="3"/>
    <x v="0"/>
  </r>
  <r>
    <x v="0"/>
    <x v="1"/>
    <x v="2"/>
    <x v="1"/>
    <x v="2"/>
    <x v="4"/>
    <x v="1"/>
    <x v="3"/>
    <x v="2"/>
  </r>
  <r>
    <x v="0"/>
    <x v="0"/>
    <x v="0"/>
    <x v="6"/>
    <x v="0"/>
    <x v="1"/>
    <x v="0"/>
    <x v="2"/>
    <x v="0"/>
  </r>
  <r>
    <x v="0"/>
    <x v="0"/>
    <x v="0"/>
    <x v="4"/>
    <x v="3"/>
    <x v="5"/>
    <x v="1"/>
    <x v="5"/>
    <x v="1"/>
  </r>
  <r>
    <x v="0"/>
    <x v="0"/>
    <x v="0"/>
    <x v="5"/>
    <x v="2"/>
    <x v="3"/>
    <x v="0"/>
    <x v="4"/>
    <x v="0"/>
  </r>
  <r>
    <x v="0"/>
    <x v="0"/>
    <x v="1"/>
    <x v="0"/>
    <x v="0"/>
    <x v="1"/>
    <x v="4"/>
    <x v="0"/>
    <x v="4"/>
  </r>
  <r>
    <x v="0"/>
    <x v="0"/>
    <x v="1"/>
    <x v="0"/>
    <x v="3"/>
    <x v="0"/>
    <x v="3"/>
    <x v="0"/>
    <x v="4"/>
  </r>
  <r>
    <x v="0"/>
    <x v="0"/>
    <x v="1"/>
    <x v="0"/>
    <x v="1"/>
    <x v="0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cap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1:C3" firstHeaderRow="1" firstDataRow="2" firstDataCol="0"/>
  <pivotFields count="9"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dataField="1" compact="0" showAll="0" outline="0"/>
    <pivotField dataField="1" compact="0" showAll="0" outline="0"/>
    <pivotField dataField="1" compact="0" showAll="0" outline="0"/>
    <pivotField compact="0" showAll="0" outline="0"/>
  </pivotFields>
  <colFields count="1">
    <field x="-2"/>
  </colFields>
  <dataFields count="3">
    <dataField name="SUM of Estimation" fld="5" subtotal="sum" numFmtId="164"/>
    <dataField name="SUM of Temps passé" fld="6" subtotal="sum" numFmtId="164"/>
    <dataField name="SUM of Reste à faire" fld="7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5" min="5" style="0" width="16.3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 customFormat="false" ht="15.75" hidden="false" customHeight="false" outlineLevel="0" collapsed="false">
      <c r="A2" s="5" t="n">
        <v>1</v>
      </c>
      <c r="B2" s="5" t="s">
        <v>11</v>
      </c>
      <c r="C2" s="5" t="s">
        <v>12</v>
      </c>
      <c r="D2" s="5" t="s">
        <v>13</v>
      </c>
      <c r="E2" s="6" t="s">
        <v>14</v>
      </c>
      <c r="F2" s="6" t="s">
        <v>15</v>
      </c>
      <c r="G2" s="5" t="n">
        <v>30</v>
      </c>
      <c r="H2" s="7" t="n">
        <f aca="false">detail_avancement!B2</f>
        <v>20</v>
      </c>
      <c r="I2" s="7" t="n">
        <f aca="false">G2-H2</f>
        <v>10</v>
      </c>
      <c r="J2" s="8" t="n">
        <f aca="false">(H2/(H2+I2))</f>
        <v>0.666666666666667</v>
      </c>
    </row>
    <row r="3" customFormat="false" ht="15.75" hidden="false" customHeight="false" outlineLevel="0" collapsed="false">
      <c r="A3" s="5" t="n">
        <v>2</v>
      </c>
      <c r="B3" s="5" t="s">
        <v>11</v>
      </c>
      <c r="C3" s="6" t="s">
        <v>12</v>
      </c>
      <c r="D3" s="5" t="s">
        <v>13</v>
      </c>
      <c r="E3" s="6" t="s">
        <v>16</v>
      </c>
      <c r="F3" s="6" t="s">
        <v>17</v>
      </c>
      <c r="G3" s="5" t="n">
        <v>20</v>
      </c>
      <c r="H3" s="7" t="n">
        <f aca="false">detail_avancement!B3</f>
        <v>0</v>
      </c>
      <c r="I3" s="7" t="n">
        <f aca="false">G3-H3</f>
        <v>20</v>
      </c>
      <c r="J3" s="8" t="n">
        <f aca="false">(H3/(H3+I3))</f>
        <v>0</v>
      </c>
    </row>
    <row r="4" customFormat="false" ht="15.75" hidden="false" customHeight="false" outlineLevel="0" collapsed="false">
      <c r="A4" s="5" t="n">
        <v>3</v>
      </c>
      <c r="B4" s="5" t="s">
        <v>11</v>
      </c>
      <c r="C4" s="6" t="s">
        <v>12</v>
      </c>
      <c r="D4" s="5" t="s">
        <v>13</v>
      </c>
      <c r="E4" s="6" t="s">
        <v>18</v>
      </c>
      <c r="F4" s="6" t="s">
        <v>19</v>
      </c>
      <c r="G4" s="5" t="n">
        <v>30</v>
      </c>
      <c r="H4" s="7" t="n">
        <f aca="false">detail_avancement!B4</f>
        <v>10</v>
      </c>
      <c r="I4" s="7" t="n">
        <f aca="false">G4-H4</f>
        <v>20</v>
      </c>
      <c r="J4" s="8" t="n">
        <f aca="false">(H4/(H4+I4))</f>
        <v>0.333333333333333</v>
      </c>
    </row>
    <row r="5" customFormat="false" ht="15.75" hidden="false" customHeight="false" outlineLevel="0" collapsed="false">
      <c r="A5" s="5" t="n">
        <v>4</v>
      </c>
      <c r="B5" s="5" t="s">
        <v>11</v>
      </c>
      <c r="C5" s="6" t="s">
        <v>20</v>
      </c>
      <c r="D5" s="5" t="s">
        <v>21</v>
      </c>
      <c r="E5" s="6" t="s">
        <v>22</v>
      </c>
      <c r="F5" s="6" t="s">
        <v>15</v>
      </c>
      <c r="G5" s="5" t="n">
        <v>10</v>
      </c>
      <c r="H5" s="7" t="n">
        <f aca="false">detail_avancement!B5</f>
        <v>0</v>
      </c>
      <c r="I5" s="7" t="n">
        <f aca="false">G5-H5</f>
        <v>10</v>
      </c>
      <c r="J5" s="8" t="n">
        <f aca="false">(H5/(H5+I5))</f>
        <v>0</v>
      </c>
    </row>
    <row r="6" customFormat="false" ht="15.75" hidden="false" customHeight="false" outlineLevel="0" collapsed="false">
      <c r="A6" s="5" t="n">
        <v>5</v>
      </c>
      <c r="B6" s="5" t="s">
        <v>11</v>
      </c>
      <c r="C6" s="6" t="s">
        <v>20</v>
      </c>
      <c r="D6" s="5" t="s">
        <v>21</v>
      </c>
      <c r="E6" s="6" t="s">
        <v>23</v>
      </c>
      <c r="F6" s="6" t="s">
        <v>17</v>
      </c>
      <c r="G6" s="5" t="n">
        <v>50</v>
      </c>
      <c r="H6" s="7" t="n">
        <f aca="false">detail_avancement!B6</f>
        <v>10</v>
      </c>
      <c r="I6" s="7" t="n">
        <f aca="false">G6-H6</f>
        <v>40</v>
      </c>
      <c r="J6" s="8" t="n">
        <f aca="false">(H6/(H6+I6))</f>
        <v>0.2</v>
      </c>
    </row>
    <row r="7" customFormat="false" ht="15.75" hidden="false" customHeight="false" outlineLevel="0" collapsed="false">
      <c r="A7" s="5" t="n">
        <v>6</v>
      </c>
      <c r="B7" s="5" t="s">
        <v>11</v>
      </c>
      <c r="C7" s="6" t="s">
        <v>20</v>
      </c>
      <c r="D7" s="5" t="s">
        <v>21</v>
      </c>
      <c r="E7" s="6" t="s">
        <v>24</v>
      </c>
      <c r="F7" s="6" t="s">
        <v>19</v>
      </c>
      <c r="G7" s="5" t="n">
        <v>25</v>
      </c>
      <c r="H7" s="7" t="n">
        <f aca="false">detail_avancement!B7</f>
        <v>0</v>
      </c>
      <c r="I7" s="7" t="n">
        <f aca="false">G7-H7</f>
        <v>25</v>
      </c>
      <c r="J7" s="8" t="n">
        <f aca="false">(H7/(H7+I7))</f>
        <v>0</v>
      </c>
    </row>
    <row r="8" customFormat="false" ht="15.75" hidden="false" customHeight="false" outlineLevel="0" collapsed="false">
      <c r="A8" s="5" t="n">
        <v>7</v>
      </c>
      <c r="B8" s="5" t="s">
        <v>11</v>
      </c>
      <c r="C8" s="6" t="s">
        <v>20</v>
      </c>
      <c r="D8" s="5" t="s">
        <v>25</v>
      </c>
      <c r="E8" s="6" t="s">
        <v>26</v>
      </c>
      <c r="F8" s="6" t="s">
        <v>15</v>
      </c>
      <c r="G8" s="5" t="n">
        <v>10</v>
      </c>
      <c r="H8" s="7" t="n">
        <f aca="false">detail_avancement!B8</f>
        <v>90</v>
      </c>
      <c r="I8" s="7" t="n">
        <v>0</v>
      </c>
      <c r="J8" s="8" t="n">
        <f aca="false">(H8/(H8+I8))</f>
        <v>1</v>
      </c>
    </row>
    <row r="9" customFormat="false" ht="15.75" hidden="false" customHeight="false" outlineLevel="0" collapsed="false">
      <c r="A9" s="5" t="n">
        <v>8</v>
      </c>
      <c r="B9" s="5" t="s">
        <v>11</v>
      </c>
      <c r="C9" s="6" t="s">
        <v>20</v>
      </c>
      <c r="D9" s="5" t="s">
        <v>25</v>
      </c>
      <c r="E9" s="6" t="s">
        <v>26</v>
      </c>
      <c r="F9" s="6" t="s">
        <v>17</v>
      </c>
      <c r="G9" s="5" t="n">
        <v>5</v>
      </c>
      <c r="H9" s="7" t="n">
        <f aca="false">detail_avancement!B9</f>
        <v>30</v>
      </c>
      <c r="I9" s="7" t="n">
        <v>0</v>
      </c>
      <c r="J9" s="8" t="n">
        <f aca="false">(H9/(H9+I9))</f>
        <v>1</v>
      </c>
    </row>
    <row r="10" customFormat="false" ht="15.75" hidden="false" customHeight="false" outlineLevel="0" collapsed="false">
      <c r="A10" s="5" t="n">
        <v>9</v>
      </c>
      <c r="B10" s="5" t="s">
        <v>11</v>
      </c>
      <c r="C10" s="6" t="s">
        <v>20</v>
      </c>
      <c r="D10" s="5" t="s">
        <v>25</v>
      </c>
      <c r="E10" s="6" t="s">
        <v>26</v>
      </c>
      <c r="F10" s="5" t="s">
        <v>27</v>
      </c>
      <c r="G10" s="5" t="n">
        <v>5</v>
      </c>
      <c r="H10" s="7" t="n">
        <f aca="false">detail_avancement!B10</f>
        <v>0</v>
      </c>
      <c r="I10" s="7" t="n">
        <f aca="false">G10-H10</f>
        <v>5</v>
      </c>
      <c r="J10" s="8" t="n">
        <f aca="false">(H10/(H10+I10))</f>
        <v>0</v>
      </c>
    </row>
    <row r="11" customFormat="fals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.7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.7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0"/>
      <c r="B1" s="11" t="s">
        <v>28</v>
      </c>
      <c r="C1" s="12"/>
      <c r="D1" s="13"/>
    </row>
    <row r="2" customFormat="false" ht="15.75" hidden="false" customHeight="false" outlineLevel="0" collapsed="false">
      <c r="A2" s="14" t="s">
        <v>29</v>
      </c>
      <c r="B2" s="15" t="s">
        <v>30</v>
      </c>
      <c r="C2" s="16" t="s">
        <v>31</v>
      </c>
      <c r="D2" s="17" t="s">
        <v>32</v>
      </c>
    </row>
    <row r="3" customFormat="false" ht="15.75" hidden="false" customHeight="false" outlineLevel="0" collapsed="false">
      <c r="A3" s="18" t="s">
        <v>33</v>
      </c>
      <c r="B3" s="19" t="n">
        <v>35</v>
      </c>
      <c r="C3" s="20" t="n">
        <v>30</v>
      </c>
      <c r="D3" s="21" t="n">
        <v>30</v>
      </c>
    </row>
    <row r="4" customFormat="false" ht="15.75" hidden="false" customHeight="false" outlineLevel="0" collapsed="false">
      <c r="A4" s="22" t="s">
        <v>34</v>
      </c>
      <c r="B4" s="23" t="n">
        <v>50</v>
      </c>
      <c r="C4" s="24" t="n">
        <v>10</v>
      </c>
      <c r="D4" s="25" t="n">
        <v>40</v>
      </c>
    </row>
    <row r="5" customFormat="false" ht="15.75" hidden="false" customHeight="false" outlineLevel="0" collapsed="false">
      <c r="A5" s="22" t="s">
        <v>35</v>
      </c>
      <c r="B5" s="23" t="n">
        <v>40</v>
      </c>
      <c r="C5" s="24" t="n">
        <v>110</v>
      </c>
      <c r="D5" s="25" t="n">
        <v>10</v>
      </c>
    </row>
    <row r="6" customFormat="false" ht="15.75" hidden="false" customHeight="false" outlineLevel="0" collapsed="false">
      <c r="A6" s="22" t="s">
        <v>36</v>
      </c>
      <c r="B6" s="23" t="n">
        <v>60</v>
      </c>
      <c r="C6" s="24" t="n">
        <v>10</v>
      </c>
      <c r="D6" s="25" t="n">
        <v>50</v>
      </c>
    </row>
    <row r="7" customFormat="false" ht="15.75" hidden="false" customHeight="false" outlineLevel="0" collapsed="false">
      <c r="A7" s="22" t="s">
        <v>37</v>
      </c>
      <c r="B7" s="26"/>
      <c r="C7" s="27"/>
      <c r="D7" s="28"/>
    </row>
    <row r="8" customFormat="false" ht="15.75" hidden="false" customHeight="true" outlineLevel="0" collapsed="false">
      <c r="A8" s="29" t="s">
        <v>38</v>
      </c>
      <c r="B8" s="30" t="n">
        <v>185</v>
      </c>
      <c r="C8" s="31" t="n">
        <v>160</v>
      </c>
      <c r="D8" s="32" t="n">
        <v>130</v>
      </c>
    </row>
    <row r="12" customFormat="false" ht="15.75" hidden="false" customHeight="false" outlineLevel="0" collapsed="false">
      <c r="A12" s="33" t="s">
        <v>10</v>
      </c>
      <c r="B12" s="34" t="n">
        <f aca="false">avancement!D2</f>
        <v>0.5517241379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7.88"/>
    <col collapsed="false" customWidth="true" hidden="false" outlineLevel="0" max="3" min="3" style="0" width="17"/>
    <col collapsed="false" customWidth="true" hidden="false" outlineLevel="0" max="4" min="4" style="0" width="18.25"/>
    <col collapsed="false" customWidth="true" hidden="false" outlineLevel="0" max="5" min="5" style="0" width="13.75"/>
  </cols>
  <sheetData>
    <row r="1" customFormat="false" ht="15.75" hidden="false" customHeight="false" outlineLevel="0" collapsed="false">
      <c r="A1" s="35" t="s">
        <v>39</v>
      </c>
      <c r="B1" s="35" t="s">
        <v>40</v>
      </c>
      <c r="C1" s="35" t="s">
        <v>41</v>
      </c>
      <c r="D1" s="35" t="s">
        <v>42</v>
      </c>
      <c r="E1" s="35" t="s">
        <v>43</v>
      </c>
    </row>
    <row r="2" customFormat="false" ht="15.75" hidden="false" customHeight="false" outlineLevel="0" collapsed="false">
      <c r="A2" s="36" t="n">
        <f aca="false">SUM('liste des taches'!G:G)</f>
        <v>185</v>
      </c>
      <c r="B2" s="36" t="n">
        <f aca="false">SUM('liste des taches'!H:H)</f>
        <v>160</v>
      </c>
      <c r="C2" s="36" t="n">
        <f aca="false">SUM('liste des taches'!I:I)</f>
        <v>130</v>
      </c>
      <c r="D2" s="37" t="n">
        <f aca="false">(B2/(B2+C2))</f>
        <v>0.5517241379</v>
      </c>
      <c r="E2" s="38" t="n">
        <f aca="false">((B2+C2)-A2)/A2</f>
        <v>0.5675675676</v>
      </c>
    </row>
    <row r="3" customFormat="false" ht="15.75" hidden="false" customHeight="false" outlineLevel="0" collapsed="false">
      <c r="A3" s="39"/>
      <c r="B3" s="39"/>
      <c r="C3" s="36" t="n">
        <f aca="false">C2/60</f>
        <v>2.166666667</v>
      </c>
      <c r="D3" s="39" t="s">
        <v>44</v>
      </c>
      <c r="E3" s="3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40" t="s">
        <v>1</v>
      </c>
      <c r="B1" s="41" t="s">
        <v>45</v>
      </c>
      <c r="C1" s="42" t="n">
        <v>46048</v>
      </c>
      <c r="D1" s="42" t="n">
        <v>46049</v>
      </c>
      <c r="E1" s="42" t="n">
        <v>46050</v>
      </c>
    </row>
    <row r="2" customFormat="false" ht="15.75" hidden="false" customHeight="false" outlineLevel="0" collapsed="false">
      <c r="A2" s="43" t="n">
        <v>1</v>
      </c>
      <c r="B2" s="36" t="n">
        <f aca="false">SUM(D2:P2)</f>
        <v>20</v>
      </c>
      <c r="C2" s="39"/>
      <c r="D2" s="43" t="n">
        <v>20</v>
      </c>
      <c r="E2" s="39"/>
    </row>
    <row r="3" customFormat="false" ht="15.75" hidden="false" customHeight="false" outlineLevel="0" collapsed="false">
      <c r="A3" s="43" t="n">
        <v>2</v>
      </c>
      <c r="B3" s="36" t="n">
        <f aca="false">SUM(D3:P3)</f>
        <v>0</v>
      </c>
      <c r="C3" s="39"/>
      <c r="D3" s="39"/>
      <c r="E3" s="39"/>
    </row>
    <row r="4" customFormat="false" ht="15.75" hidden="false" customHeight="false" outlineLevel="0" collapsed="false">
      <c r="A4" s="43" t="n">
        <v>3</v>
      </c>
      <c r="B4" s="36" t="n">
        <f aca="false">SUM(D4:P4)</f>
        <v>10</v>
      </c>
      <c r="C4" s="43" t="n">
        <v>20</v>
      </c>
      <c r="D4" s="43" t="n">
        <v>10</v>
      </c>
      <c r="E4" s="39"/>
    </row>
    <row r="5" customFormat="false" ht="15.75" hidden="false" customHeight="false" outlineLevel="0" collapsed="false">
      <c r="A5" s="43" t="n">
        <v>4</v>
      </c>
      <c r="B5" s="36" t="n">
        <f aca="false">SUM(D5:P5)</f>
        <v>0</v>
      </c>
      <c r="C5" s="39"/>
      <c r="D5" s="39"/>
      <c r="E5" s="39"/>
    </row>
    <row r="6" customFormat="false" ht="15.75" hidden="false" customHeight="false" outlineLevel="0" collapsed="false">
      <c r="A6" s="43" t="n">
        <v>5</v>
      </c>
      <c r="B6" s="36" t="n">
        <f aca="false">SUM(D6:P6)</f>
        <v>10</v>
      </c>
      <c r="C6" s="39"/>
      <c r="D6" s="44" t="n">
        <v>10</v>
      </c>
      <c r="E6" s="39"/>
    </row>
    <row r="7" customFormat="false" ht="15.75" hidden="false" customHeight="false" outlineLevel="0" collapsed="false">
      <c r="A7" s="43" t="n">
        <v>6</v>
      </c>
      <c r="B7" s="36" t="n">
        <f aca="false">SUM(D7:P7)</f>
        <v>0</v>
      </c>
      <c r="C7" s="39"/>
      <c r="D7" s="39"/>
      <c r="E7" s="39"/>
    </row>
    <row r="8" customFormat="false" ht="15.75" hidden="false" customHeight="false" outlineLevel="0" collapsed="false">
      <c r="A8" s="43" t="n">
        <v>7</v>
      </c>
      <c r="B8" s="36" t="n">
        <f aca="false">SUM(D8:P8)</f>
        <v>90</v>
      </c>
      <c r="C8" s="39"/>
      <c r="D8" s="44" t="n">
        <v>90</v>
      </c>
      <c r="E8" s="39"/>
    </row>
    <row r="9" customFormat="false" ht="15.75" hidden="false" customHeight="false" outlineLevel="0" collapsed="false">
      <c r="A9" s="1" t="n">
        <v>8</v>
      </c>
      <c r="B9" s="36" t="n">
        <f aca="false">SUM(D9:P9)</f>
        <v>30</v>
      </c>
      <c r="D9" s="1" t="n">
        <v>30</v>
      </c>
    </row>
    <row r="10" customFormat="false" ht="15.75" hidden="false" customHeight="false" outlineLevel="0" collapsed="false">
      <c r="A10" s="1" t="n">
        <v>9</v>
      </c>
      <c r="B10" s="36" t="n">
        <f aca="false">SUM(D10:P10)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2026-05-12T14:02:50Z</dcterms:modified>
  <cp:revision>1</cp:revision>
  <dc:subject/>
  <dc:title/>
</cp:coreProperties>
</file>